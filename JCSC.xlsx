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143" documentId="8_{75209C14-7148-4BFC-8799-EB520C7A5221}" xr6:coauthVersionLast="47" xr6:coauthVersionMax="47" xr10:uidLastSave="{798D8F5E-CAC6-4F79-8742-4DD1E7E1F67D}"/>
  <bookViews>
    <workbookView xWindow="-120" yWindow="-120" windowWidth="29040" windowHeight="17520" activeTab="1" xr2:uid="{00000000-000D-0000-FFFF-FFFF00000000}"/>
  </bookViews>
  <sheets>
    <sheet name="Introduction" sheetId="7" r:id="rId1"/>
    <sheet name="JCSC" sheetId="4" r:id="rId2"/>
    <sheet name="Chords" sheetId="6" r:id="rId3"/>
    <sheet name="Keyboard" sheetId="5" r:id="rId4"/>
    <sheet name="MasterTables" sheetId="1" r:id="rId5"/>
    <sheet name="ERD" sheetId="3" r:id="rId6"/>
    <sheet name="IntroductionJ" sheetId="8" r:id="rId7"/>
    <sheet name="License" sheetId="10" r:id="rId8"/>
  </sheets>
  <definedNames>
    <definedName name="CurrentRow">Keyboard!$B$4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5" i="1" l="1"/>
  <c r="AB55" i="1"/>
  <c r="AB26" i="1"/>
  <c r="AB28" i="1"/>
  <c r="AB58" i="1"/>
  <c r="AB107" i="1"/>
  <c r="AB83" i="1"/>
  <c r="AB94" i="1"/>
  <c r="AB90" i="1"/>
  <c r="AB20" i="1"/>
  <c r="AB13" i="1"/>
  <c r="AB11" i="1"/>
  <c r="AB9" i="1"/>
  <c r="AB12" i="1"/>
  <c r="AB10" i="1"/>
  <c r="AB5" i="1"/>
  <c r="AB6" i="1"/>
  <c r="AB24" i="1"/>
  <c r="AB21" i="1"/>
  <c r="AB18" i="1"/>
  <c r="AB22" i="1"/>
  <c r="AB23" i="1"/>
  <c r="AB19" i="1"/>
  <c r="AB14" i="1"/>
  <c r="AB29" i="1"/>
  <c r="AB30" i="1"/>
  <c r="AB39" i="1"/>
  <c r="AB34" i="1"/>
  <c r="AB38" i="1"/>
  <c r="AB36" i="1"/>
  <c r="AB53" i="1"/>
  <c r="AB47" i="1"/>
  <c r="AB51" i="1"/>
  <c r="AB46" i="1"/>
  <c r="AB50" i="1"/>
  <c r="AB40" i="1"/>
  <c r="AB41" i="1"/>
  <c r="AB42" i="1"/>
  <c r="AB43" i="1"/>
  <c r="AB44" i="1"/>
  <c r="AB49" i="1"/>
  <c r="AB45" i="1"/>
  <c r="AB48" i="1"/>
  <c r="AB59" i="1"/>
  <c r="AB60" i="1"/>
  <c r="AB64" i="1"/>
  <c r="AB68" i="1"/>
  <c r="AB7" i="1"/>
  <c r="AB16" i="1"/>
  <c r="AB31" i="1"/>
  <c r="AB61" i="1"/>
  <c r="AB67" i="1"/>
  <c r="AB63" i="1"/>
  <c r="AB71" i="1"/>
  <c r="AB73" i="1"/>
  <c r="AB69" i="1"/>
  <c r="AB70" i="1"/>
  <c r="AB74" i="1"/>
  <c r="AB72" i="1"/>
  <c r="AB78" i="1"/>
  <c r="AB82" i="1"/>
  <c r="AB75" i="1"/>
  <c r="AB86" i="1"/>
  <c r="AB84" i="1"/>
  <c r="AB85" i="1"/>
  <c r="AB91" i="1"/>
  <c r="AB93" i="1"/>
  <c r="AB87" i="1"/>
  <c r="AB88" i="1"/>
  <c r="AB100" i="1"/>
  <c r="AB101" i="1"/>
  <c r="AB103" i="1"/>
  <c r="AB97" i="1"/>
  <c r="AB95" i="1"/>
  <c r="AB96" i="1"/>
  <c r="AB99" i="1"/>
  <c r="AB98" i="1"/>
  <c r="AB108" i="1"/>
  <c r="AB106" i="1"/>
  <c r="AB111" i="1"/>
  <c r="AB109" i="1"/>
  <c r="AB35" i="1"/>
  <c r="AB32" i="1"/>
  <c r="AB57" i="1"/>
  <c r="AB65" i="1"/>
  <c r="AB66" i="1"/>
  <c r="AB110" i="1"/>
  <c r="AB80" i="1"/>
  <c r="AB81" i="1"/>
  <c r="AB105" i="1"/>
  <c r="AB79" i="1"/>
  <c r="AB89" i="1"/>
  <c r="AB102" i="1"/>
  <c r="AB92" i="1"/>
  <c r="AB27" i="1"/>
  <c r="AB25" i="1"/>
  <c r="AB56" i="1"/>
  <c r="AB54" i="1"/>
  <c r="AB62" i="1"/>
  <c r="AB8" i="1"/>
  <c r="AB17" i="1"/>
  <c r="AB33" i="1"/>
  <c r="AB52" i="1"/>
  <c r="AB37" i="1"/>
  <c r="AB76" i="1"/>
  <c r="AB77" i="1"/>
  <c r="AB104" i="1"/>
  <c r="E13" i="4" a="1"/>
  <c r="E13" i="4" s="1"/>
  <c r="E14" i="4" a="1"/>
  <c r="E14" i="4" s="1"/>
  <c r="E16" i="4" a="1"/>
  <c r="E16" i="4" s="1"/>
  <c r="E17" i="4" a="1"/>
  <c r="E17" i="4" s="1"/>
  <c r="E18" i="4" a="1"/>
  <c r="E18" i="4" s="1"/>
  <c r="E19" i="4" a="1"/>
  <c r="E19" i="4" s="1"/>
  <c r="E20" i="4" a="1"/>
  <c r="E20" i="4" s="1"/>
  <c r="E21" i="4" a="1"/>
  <c r="E21" i="4" s="1"/>
  <c r="E22" i="4" a="1"/>
  <c r="E22" i="4" s="1"/>
  <c r="E23" i="4" a="1"/>
  <c r="E23" i="4" s="1"/>
  <c r="E24" i="4" a="1"/>
  <c r="E24" i="4" s="1"/>
  <c r="E25" i="4" a="1"/>
  <c r="E25" i="4" s="1"/>
  <c r="E15" i="4" a="1"/>
  <c r="E15" i="4" s="1"/>
  <c r="B4" i="5" a="1"/>
  <c r="B4" i="5" s="1"/>
  <c r="D3" i="4" l="1" a="1"/>
  <c r="D3" i="4" s="1"/>
  <c r="AH15" i="4"/>
  <c r="AH14" i="4"/>
  <c r="AK14" i="4" s="1"/>
  <c r="AH16" i="4"/>
  <c r="AH17" i="4"/>
  <c r="AH18" i="4"/>
  <c r="AH13" i="4"/>
  <c r="AI13" i="4" s="1"/>
  <c r="AH19" i="4"/>
  <c r="AH20" i="4"/>
  <c r="AJ20" i="4" s="1"/>
  <c r="AH21" i="4"/>
  <c r="AH22" i="4"/>
  <c r="AI22" i="4" s="1"/>
  <c r="AH25" i="4"/>
  <c r="AH24" i="4"/>
  <c r="AI24" i="4" s="1"/>
  <c r="AH23" i="4"/>
  <c r="AI23" i="4" s="1"/>
  <c r="AK15" i="4" l="1"/>
  <c r="AJ15" i="4"/>
  <c r="AL15" i="4" s="1" a="1"/>
  <c r="AL15" i="4" s="1"/>
  <c r="AI15" i="4"/>
  <c r="AK16" i="4"/>
  <c r="AI16" i="4"/>
  <c r="AJ16" i="4"/>
  <c r="AL16" i="4" s="1" a="1"/>
  <c r="AL16" i="4" s="1"/>
  <c r="D16" i="4" s="1" a="1"/>
  <c r="D16" i="4" s="1"/>
  <c r="AI14" i="4"/>
  <c r="AJ14" i="4"/>
  <c r="AL14" i="4" s="1" a="1"/>
  <c r="AL14" i="4" s="1"/>
  <c r="D14" i="4" s="1" a="1"/>
  <c r="D14" i="4" s="1"/>
  <c r="AK22" i="4"/>
  <c r="AJ22" i="4"/>
  <c r="AI18" i="4"/>
  <c r="AK18" i="4"/>
  <c r="AJ18" i="4"/>
  <c r="AI21" i="4"/>
  <c r="AK21" i="4"/>
  <c r="AJ21" i="4"/>
  <c r="AK17" i="4"/>
  <c r="AJ17" i="4"/>
  <c r="AI17" i="4"/>
  <c r="AJ13" i="4"/>
  <c r="AK13" i="4"/>
  <c r="AK19" i="4"/>
  <c r="AJ19" i="4"/>
  <c r="AL19" i="4" s="1" a="1"/>
  <c r="AL19" i="4" s="1"/>
  <c r="D19" i="4" s="1" a="1"/>
  <c r="D19" i="4" s="1"/>
  <c r="AI19" i="4"/>
  <c r="AI20" i="4"/>
  <c r="AK20" i="4"/>
  <c r="AL20" i="4" s="1" a="1"/>
  <c r="AL20" i="4" s="1"/>
  <c r="AK23" i="4"/>
  <c r="AJ23" i="4"/>
  <c r="AK24" i="4"/>
  <c r="AJ24" i="4"/>
  <c r="AJ25" i="4"/>
  <c r="AI25" i="4"/>
  <c r="AK25" i="4"/>
  <c r="AL22" i="4" l="1" a="1"/>
  <c r="AL22" i="4" s="1"/>
  <c r="G15" i="4" a="1"/>
  <c r="G15" i="4" s="1"/>
  <c r="D15" i="4" a="1"/>
  <c r="D15" i="4" s="1"/>
  <c r="F15" i="4" a="1"/>
  <c r="F15" i="4" s="1"/>
  <c r="C4" i="5" a="1"/>
  <c r="C4" i="5" s="1"/>
  <c r="AL18" i="4" a="1"/>
  <c r="AL18" i="4" s="1"/>
  <c r="AL17" i="4" a="1"/>
  <c r="AL17" i="4" s="1"/>
  <c r="F14" i="4" a="1"/>
  <c r="F14" i="4" s="1"/>
  <c r="G14" i="4" a="1"/>
  <c r="G14" i="4" s="1"/>
  <c r="AL21" i="4" a="1"/>
  <c r="AL21" i="4" s="1"/>
  <c r="G21" i="4" s="1" a="1"/>
  <c r="G21" i="4" s="1"/>
  <c r="G16" i="4" a="1"/>
  <c r="G16" i="4" s="1"/>
  <c r="H16" i="4" s="1" a="1"/>
  <c r="H16" i="4" s="1"/>
  <c r="F16" i="4" a="1"/>
  <c r="F16" i="4" s="1"/>
  <c r="AL13" i="4" a="1"/>
  <c r="AL13" i="4" s="1"/>
  <c r="G19" i="4" a="1"/>
  <c r="G19" i="4" s="1"/>
  <c r="F19" i="4" a="1"/>
  <c r="F19" i="4" s="1"/>
  <c r="G20" i="4" a="1"/>
  <c r="G20" i="4" s="1"/>
  <c r="F20" i="4" a="1"/>
  <c r="F20" i="4" s="1"/>
  <c r="D20" i="4" a="1"/>
  <c r="D20" i="4" s="1"/>
  <c r="AL23" i="4" a="1"/>
  <c r="AL23" i="4" s="1"/>
  <c r="AL24" i="4" a="1"/>
  <c r="AL24" i="4" s="1"/>
  <c r="AL25" i="4" a="1"/>
  <c r="AL25" i="4" s="1"/>
  <c r="G22" i="4" l="1" a="1"/>
  <c r="G22" i="4" s="1"/>
  <c r="F22" i="4" a="1"/>
  <c r="F22" i="4" s="1"/>
  <c r="D22" i="4" a="1"/>
  <c r="D22" i="4" s="1"/>
  <c r="R15" i="4" a="1"/>
  <c r="R15" i="4" s="1"/>
  <c r="T15" i="4" a="1"/>
  <c r="T15" i="4" s="1"/>
  <c r="V15" i="4" a="1"/>
  <c r="V15" i="4" s="1"/>
  <c r="X15" i="4" a="1"/>
  <c r="X15" i="4" s="1"/>
  <c r="AG15" i="4" a="1"/>
  <c r="AG15" i="4" s="1"/>
  <c r="H15" i="4" a="1"/>
  <c r="H15" i="4" s="1"/>
  <c r="I15" i="4" a="1"/>
  <c r="I15" i="4" s="1"/>
  <c r="J15" i="4" a="1"/>
  <c r="J15" i="4" s="1"/>
  <c r="K15" i="4" a="1"/>
  <c r="K15" i="4" s="1"/>
  <c r="L15" i="4" a="1"/>
  <c r="L15" i="4" s="1"/>
  <c r="M15" i="4" a="1"/>
  <c r="M15" i="4" s="1"/>
  <c r="N15" i="4" a="1"/>
  <c r="N15" i="4" s="1"/>
  <c r="O15" i="4" a="1"/>
  <c r="O15" i="4" s="1"/>
  <c r="P15" i="4" a="1"/>
  <c r="P15" i="4" s="1"/>
  <c r="Q15" i="4" a="1"/>
  <c r="Q15" i="4" s="1"/>
  <c r="S15" i="4" a="1"/>
  <c r="S15" i="4" s="1"/>
  <c r="U15" i="4" a="1"/>
  <c r="U15" i="4" s="1"/>
  <c r="W15" i="4" a="1"/>
  <c r="W15" i="4" s="1"/>
  <c r="Y15" i="4" a="1"/>
  <c r="Y15" i="4" s="1"/>
  <c r="Z15" i="4" a="1"/>
  <c r="Z15" i="4" s="1"/>
  <c r="AA15" i="4" a="1"/>
  <c r="AA15" i="4" s="1"/>
  <c r="AB15" i="4" a="1"/>
  <c r="AB15" i="4" s="1"/>
  <c r="AC15" i="4" a="1"/>
  <c r="AC15" i="4" s="1"/>
  <c r="AD15" i="4" a="1"/>
  <c r="AD15" i="4" s="1"/>
  <c r="AE15" i="4" a="1"/>
  <c r="AE15" i="4" s="1"/>
  <c r="AF15" i="4" a="1"/>
  <c r="AF15" i="4" s="1"/>
  <c r="D18" i="4" a="1"/>
  <c r="D18" i="4" s="1"/>
  <c r="G18" i="4" a="1"/>
  <c r="G18" i="4" s="1"/>
  <c r="F18" i="4" a="1"/>
  <c r="F18" i="4" s="1"/>
  <c r="G17" i="4" a="1"/>
  <c r="G17" i="4" s="1"/>
  <c r="D17" i="4" a="1"/>
  <c r="D17" i="4" s="1"/>
  <c r="F17" i="4" a="1"/>
  <c r="F17" i="4" s="1"/>
  <c r="AG14" i="4" a="1"/>
  <c r="AG14" i="4" s="1"/>
  <c r="AF14" i="4" a="1"/>
  <c r="AF14" i="4" s="1"/>
  <c r="AD14" i="4" a="1"/>
  <c r="AD14" i="4" s="1"/>
  <c r="AE14" i="4" a="1"/>
  <c r="AE14" i="4" s="1"/>
  <c r="AC14" i="4" a="1"/>
  <c r="AC14" i="4" s="1"/>
  <c r="Z14" i="4" a="1"/>
  <c r="Z14" i="4" s="1"/>
  <c r="K14" i="4" a="1"/>
  <c r="K14" i="4" s="1"/>
  <c r="J14" i="4" a="1"/>
  <c r="J14" i="4" s="1"/>
  <c r="AB14" i="4" a="1"/>
  <c r="AB14" i="4" s="1"/>
  <c r="U14" i="4" a="1"/>
  <c r="U14" i="4" s="1"/>
  <c r="V14" i="4" a="1"/>
  <c r="V14" i="4" s="1"/>
  <c r="T14" i="4" a="1"/>
  <c r="T14" i="4" s="1"/>
  <c r="R14" i="4" a="1"/>
  <c r="R14" i="4" s="1"/>
  <c r="AA14" i="4" a="1"/>
  <c r="AA14" i="4" s="1"/>
  <c r="Q14" i="4" a="1"/>
  <c r="Q14" i="4" s="1"/>
  <c r="Y14" i="4" a="1"/>
  <c r="Y14" i="4" s="1"/>
  <c r="P14" i="4" a="1"/>
  <c r="P14" i="4" s="1"/>
  <c r="S14" i="4" a="1"/>
  <c r="S14" i="4" s="1"/>
  <c r="O14" i="4" a="1"/>
  <c r="O14" i="4" s="1"/>
  <c r="N14" i="4" a="1"/>
  <c r="N14" i="4" s="1"/>
  <c r="W14" i="4" a="1"/>
  <c r="W14" i="4" s="1"/>
  <c r="M14" i="4" a="1"/>
  <c r="M14" i="4" s="1"/>
  <c r="X14" i="4" a="1"/>
  <c r="X14" i="4" s="1"/>
  <c r="L14" i="4" a="1"/>
  <c r="L14" i="4" s="1"/>
  <c r="I14" i="4" a="1"/>
  <c r="I14" i="4" s="1"/>
  <c r="H14" i="4" a="1"/>
  <c r="H14" i="4" s="1"/>
  <c r="D21" i="4" a="1"/>
  <c r="D21" i="4" s="1"/>
  <c r="F21" i="4" a="1"/>
  <c r="F21" i="4" s="1"/>
  <c r="AC16" i="4" a="1"/>
  <c r="AC16" i="4" s="1"/>
  <c r="AD16" i="4" a="1"/>
  <c r="AD16" i="4" s="1"/>
  <c r="AE16" i="4" a="1"/>
  <c r="AE16" i="4" s="1"/>
  <c r="AF16" i="4" a="1"/>
  <c r="AF16" i="4" s="1"/>
  <c r="AG16" i="4" a="1"/>
  <c r="AG16" i="4" s="1"/>
  <c r="I16" i="4" a="1"/>
  <c r="I16" i="4" s="1"/>
  <c r="AB16" i="4" a="1"/>
  <c r="AB16" i="4" s="1"/>
  <c r="AA16" i="4" a="1"/>
  <c r="AA16" i="4" s="1"/>
  <c r="Z16" i="4" a="1"/>
  <c r="Z16" i="4" s="1"/>
  <c r="Y16" i="4" a="1"/>
  <c r="Y16" i="4" s="1"/>
  <c r="W16" i="4" a="1"/>
  <c r="W16" i="4" s="1"/>
  <c r="V16" i="4" a="1"/>
  <c r="V16" i="4" s="1"/>
  <c r="U16" i="4" a="1"/>
  <c r="U16" i="4" s="1"/>
  <c r="T16" i="4" a="1"/>
  <c r="T16" i="4" s="1"/>
  <c r="S16" i="4" a="1"/>
  <c r="S16" i="4" s="1"/>
  <c r="Q16" i="4" a="1"/>
  <c r="Q16" i="4" s="1"/>
  <c r="P16" i="4" a="1"/>
  <c r="P16" i="4" s="1"/>
  <c r="N16" i="4" a="1"/>
  <c r="N16" i="4" s="1"/>
  <c r="M16" i="4" a="1"/>
  <c r="M16" i="4" s="1"/>
  <c r="K16" i="4" a="1"/>
  <c r="K16" i="4" s="1"/>
  <c r="J16" i="4" a="1"/>
  <c r="J16" i="4" s="1"/>
  <c r="X16" i="4" a="1"/>
  <c r="X16" i="4" s="1"/>
  <c r="R16" i="4" a="1"/>
  <c r="R16" i="4" s="1"/>
  <c r="O16" i="4" a="1"/>
  <c r="O16" i="4" s="1"/>
  <c r="L16" i="4" a="1"/>
  <c r="L16" i="4" s="1"/>
  <c r="G13" i="4" a="1"/>
  <c r="G13" i="4" s="1"/>
  <c r="F13" i="4" a="1"/>
  <c r="F13" i="4" s="1"/>
  <c r="D13" i="4" a="1"/>
  <c r="D13" i="4" s="1"/>
  <c r="X21" i="4" a="1"/>
  <c r="X21" i="4" s="1"/>
  <c r="V21" i="4" a="1"/>
  <c r="V21" i="4" s="1"/>
  <c r="AD21" i="4" a="1"/>
  <c r="AD21" i="4" s="1"/>
  <c r="AG21" i="4" a="1"/>
  <c r="AG21" i="4" s="1"/>
  <c r="AC21" i="4" a="1"/>
  <c r="AC21" i="4" s="1"/>
  <c r="AE21" i="4" a="1"/>
  <c r="AE21" i="4" s="1"/>
  <c r="AF21" i="4" a="1"/>
  <c r="AF21" i="4" s="1"/>
  <c r="Y21" i="4" a="1"/>
  <c r="Y21" i="4" s="1"/>
  <c r="AF19" i="4" a="1"/>
  <c r="AF19" i="4" s="1"/>
  <c r="AD19" i="4" a="1"/>
  <c r="AD19" i="4" s="1"/>
  <c r="AE19" i="4" a="1"/>
  <c r="AE19" i="4" s="1"/>
  <c r="AG19" i="4" a="1"/>
  <c r="AG19" i="4" s="1"/>
  <c r="AC19" i="4" a="1"/>
  <c r="AC19" i="4" s="1"/>
  <c r="AG20" i="4" a="1"/>
  <c r="AG20" i="4" s="1"/>
  <c r="AF20" i="4" a="1"/>
  <c r="AF20" i="4" s="1"/>
  <c r="AE20" i="4" a="1"/>
  <c r="AE20" i="4" s="1"/>
  <c r="AD20" i="4" a="1"/>
  <c r="AD20" i="4" s="1"/>
  <c r="AC20" i="4" a="1"/>
  <c r="AC20" i="4" s="1"/>
  <c r="S21" i="4" a="1"/>
  <c r="S21" i="4" s="1"/>
  <c r="K21" i="4" a="1"/>
  <c r="K21" i="4" s="1"/>
  <c r="U21" i="4" a="1"/>
  <c r="U21" i="4" s="1"/>
  <c r="N21" i="4" a="1"/>
  <c r="N21" i="4" s="1"/>
  <c r="M21" i="4" a="1"/>
  <c r="M21" i="4" s="1"/>
  <c r="L21" i="4" a="1"/>
  <c r="L21" i="4" s="1"/>
  <c r="AB21" i="4" a="1"/>
  <c r="AB21" i="4" s="1"/>
  <c r="AA21" i="4" a="1"/>
  <c r="AA21" i="4" s="1"/>
  <c r="Z21" i="4" a="1"/>
  <c r="Z21" i="4" s="1"/>
  <c r="W21" i="4" a="1"/>
  <c r="W21" i="4" s="1"/>
  <c r="T21" i="4" a="1"/>
  <c r="T21" i="4" s="1"/>
  <c r="R21" i="4" a="1"/>
  <c r="R21" i="4" s="1"/>
  <c r="Q21" i="4" a="1"/>
  <c r="Q21" i="4" s="1"/>
  <c r="P21" i="4" a="1"/>
  <c r="P21" i="4" s="1"/>
  <c r="O21" i="4" a="1"/>
  <c r="O21" i="4" s="1"/>
  <c r="J21" i="4" a="1"/>
  <c r="J21" i="4" s="1"/>
  <c r="I21" i="4" a="1"/>
  <c r="I21" i="4" s="1"/>
  <c r="H21" i="4" a="1"/>
  <c r="H21" i="4" s="1"/>
  <c r="L19" i="4" a="1"/>
  <c r="L19" i="4" s="1"/>
  <c r="S19" i="4" a="1"/>
  <c r="S19" i="4" s="1"/>
  <c r="Y19" i="4" a="1"/>
  <c r="Y19" i="4" s="1"/>
  <c r="K19" i="4" a="1"/>
  <c r="K19" i="4" s="1"/>
  <c r="Q19" i="4" a="1"/>
  <c r="Q19" i="4" s="1"/>
  <c r="I19" i="4" a="1"/>
  <c r="I19" i="4" s="1"/>
  <c r="T19" i="4" a="1"/>
  <c r="T19" i="4" s="1"/>
  <c r="R19" i="4" a="1"/>
  <c r="R19" i="4" s="1"/>
  <c r="W19" i="4" a="1"/>
  <c r="W19" i="4" s="1"/>
  <c r="X19" i="4" a="1"/>
  <c r="X19" i="4" s="1"/>
  <c r="P19" i="4" a="1"/>
  <c r="P19" i="4" s="1"/>
  <c r="AB19" i="4" a="1"/>
  <c r="AB19" i="4" s="1"/>
  <c r="J19" i="4" a="1"/>
  <c r="J19" i="4" s="1"/>
  <c r="O19" i="4" a="1"/>
  <c r="O19" i="4" s="1"/>
  <c r="V19" i="4" a="1"/>
  <c r="V19" i="4" s="1"/>
  <c r="N19" i="4" a="1"/>
  <c r="N19" i="4" s="1"/>
  <c r="U19" i="4" a="1"/>
  <c r="U19" i="4" s="1"/>
  <c r="AA19" i="4" a="1"/>
  <c r="AA19" i="4" s="1"/>
  <c r="H19" i="4" a="1"/>
  <c r="H19" i="4" s="1"/>
  <c r="M19" i="4" a="1"/>
  <c r="M19" i="4" s="1"/>
  <c r="Z19" i="4" a="1"/>
  <c r="Z19" i="4" s="1"/>
  <c r="O20" i="4" a="1"/>
  <c r="O20" i="4" s="1"/>
  <c r="AB20" i="4" a="1"/>
  <c r="AB20" i="4" s="1"/>
  <c r="L20" i="4" a="1"/>
  <c r="L20" i="4" s="1"/>
  <c r="R20" i="4" a="1"/>
  <c r="R20" i="4" s="1"/>
  <c r="V20" i="4" a="1"/>
  <c r="V20" i="4" s="1"/>
  <c r="S20" i="4" a="1"/>
  <c r="S20" i="4" s="1"/>
  <c r="P20" i="4" a="1"/>
  <c r="P20" i="4" s="1"/>
  <c r="N20" i="4" a="1"/>
  <c r="N20" i="4" s="1"/>
  <c r="T20" i="4" a="1"/>
  <c r="T20" i="4" s="1"/>
  <c r="Q20" i="4" a="1"/>
  <c r="Q20" i="4" s="1"/>
  <c r="Y20" i="4" a="1"/>
  <c r="Y20" i="4" s="1"/>
  <c r="J20" i="4" a="1"/>
  <c r="J20" i="4" s="1"/>
  <c r="AA20" i="4" a="1"/>
  <c r="AA20" i="4" s="1"/>
  <c r="I20" i="4" a="1"/>
  <c r="I20" i="4" s="1"/>
  <c r="X20" i="4" a="1"/>
  <c r="X20" i="4" s="1"/>
  <c r="M20" i="4" a="1"/>
  <c r="M20" i="4" s="1"/>
  <c r="U20" i="4" a="1"/>
  <c r="U20" i="4" s="1"/>
  <c r="H20" i="4" a="1"/>
  <c r="H20" i="4" s="1"/>
  <c r="Z20" i="4" a="1"/>
  <c r="Z20" i="4" s="1"/>
  <c r="W20" i="4" a="1"/>
  <c r="W20" i="4" s="1"/>
  <c r="K20" i="4" a="1"/>
  <c r="K20" i="4" s="1"/>
  <c r="D24" i="4" a="1"/>
  <c r="D24" i="4" s="1"/>
  <c r="F24" i="4" a="1"/>
  <c r="F24" i="4" s="1"/>
  <c r="D25" i="4" a="1"/>
  <c r="D25" i="4" s="1"/>
  <c r="F25" i="4" a="1"/>
  <c r="F25" i="4" s="1"/>
  <c r="D23" i="4" a="1"/>
  <c r="D23" i="4" s="1"/>
  <c r="F23" i="4" a="1"/>
  <c r="F23" i="4" s="1"/>
  <c r="G23" i="4" a="1"/>
  <c r="G23" i="4" s="1"/>
  <c r="G24" i="4" a="1"/>
  <c r="G24" i="4" s="1"/>
  <c r="G25" i="4" a="1"/>
  <c r="G25" i="4" s="1"/>
  <c r="AA22" i="4" l="1" a="1"/>
  <c r="AA22" i="4" s="1"/>
  <c r="AG22" i="4" a="1"/>
  <c r="AG22" i="4" s="1"/>
  <c r="AD22" i="4" a="1"/>
  <c r="AD22" i="4" s="1"/>
  <c r="AF22" i="4" a="1"/>
  <c r="AF22" i="4" s="1"/>
  <c r="AC22" i="4" a="1"/>
  <c r="AC22" i="4" s="1"/>
  <c r="V22" i="4" a="1"/>
  <c r="V22" i="4" s="1"/>
  <c r="U22" i="4" a="1"/>
  <c r="U22" i="4" s="1"/>
  <c r="T22" i="4" a="1"/>
  <c r="T22" i="4" s="1"/>
  <c r="R22" i="4" a="1"/>
  <c r="R22" i="4" s="1"/>
  <c r="P22" i="4" a="1"/>
  <c r="P22" i="4" s="1"/>
  <c r="Z22" i="4" a="1"/>
  <c r="Z22" i="4" s="1"/>
  <c r="W22" i="4" a="1"/>
  <c r="W22" i="4" s="1"/>
  <c r="Q22" i="4" a="1"/>
  <c r="Q22" i="4" s="1"/>
  <c r="J22" i="4" a="1"/>
  <c r="J22" i="4" s="1"/>
  <c r="Y22" i="4" a="1"/>
  <c r="Y22" i="4" s="1"/>
  <c r="I22" i="4" a="1"/>
  <c r="I22" i="4" s="1"/>
  <c r="X22" i="4" a="1"/>
  <c r="X22" i="4" s="1"/>
  <c r="S22" i="4" a="1"/>
  <c r="S22" i="4" s="1"/>
  <c r="N22" i="4" a="1"/>
  <c r="N22" i="4" s="1"/>
  <c r="K22" i="4" a="1"/>
  <c r="K22" i="4" s="1"/>
  <c r="L22" i="4" a="1"/>
  <c r="L22" i="4" s="1"/>
  <c r="AB22" i="4" a="1"/>
  <c r="AB22" i="4" s="1"/>
  <c r="AE22" i="4" a="1"/>
  <c r="AE22" i="4" s="1"/>
  <c r="O22" i="4" a="1"/>
  <c r="O22" i="4" s="1"/>
  <c r="M22" i="4" a="1"/>
  <c r="M22" i="4" s="1"/>
  <c r="H22" i="4" a="1"/>
  <c r="H22" i="4" s="1"/>
  <c r="Q18" i="4" a="1"/>
  <c r="Q18" i="4" s="1"/>
  <c r="O18" i="4" a="1"/>
  <c r="O18" i="4" s="1"/>
  <c r="J18" i="4" a="1"/>
  <c r="J18" i="4" s="1"/>
  <c r="M18" i="4" a="1"/>
  <c r="M18" i="4" s="1"/>
  <c r="P18" i="4" a="1"/>
  <c r="P18" i="4" s="1"/>
  <c r="U18" i="4" a="1"/>
  <c r="U18" i="4" s="1"/>
  <c r="S18" i="4" a="1"/>
  <c r="S18" i="4" s="1"/>
  <c r="V18" i="4" a="1"/>
  <c r="V18" i="4" s="1"/>
  <c r="W18" i="4" a="1"/>
  <c r="W18" i="4" s="1"/>
  <c r="N18" i="4" a="1"/>
  <c r="N18" i="4" s="1"/>
  <c r="Y18" i="4" a="1"/>
  <c r="Y18" i="4" s="1"/>
  <c r="Z18" i="4" a="1"/>
  <c r="Z18" i="4" s="1"/>
  <c r="I18" i="4" a="1"/>
  <c r="I18" i="4" s="1"/>
  <c r="K18" i="4" a="1"/>
  <c r="K18" i="4" s="1"/>
  <c r="L18" i="4" a="1"/>
  <c r="L18" i="4" s="1"/>
  <c r="AD18" i="4" a="1"/>
  <c r="AD18" i="4" s="1"/>
  <c r="AC18" i="4" a="1"/>
  <c r="AC18" i="4" s="1"/>
  <c r="T18" i="4" a="1"/>
  <c r="T18" i="4" s="1"/>
  <c r="R18" i="4" a="1"/>
  <c r="R18" i="4" s="1"/>
  <c r="AA18" i="4" a="1"/>
  <c r="AA18" i="4" s="1"/>
  <c r="AB18" i="4" a="1"/>
  <c r="AB18" i="4" s="1"/>
  <c r="X18" i="4" a="1"/>
  <c r="X18" i="4" s="1"/>
  <c r="H18" i="4" a="1"/>
  <c r="H18" i="4" s="1"/>
  <c r="AG18" i="4" a="1"/>
  <c r="AG18" i="4" s="1"/>
  <c r="AF18" i="4" a="1"/>
  <c r="AF18" i="4" s="1"/>
  <c r="AE18" i="4" a="1"/>
  <c r="AE18" i="4" s="1"/>
  <c r="AF17" i="4" a="1"/>
  <c r="AF17" i="4" s="1"/>
  <c r="AE17" i="4" a="1"/>
  <c r="AE17" i="4" s="1"/>
  <c r="AG17" i="4" a="1"/>
  <c r="AG17" i="4" s="1"/>
  <c r="AD17" i="4" a="1"/>
  <c r="AD17" i="4" s="1"/>
  <c r="AC17" i="4" a="1"/>
  <c r="AC17" i="4" s="1"/>
  <c r="H17" i="4" a="1"/>
  <c r="H17" i="4" s="1"/>
  <c r="I17" i="4" a="1"/>
  <c r="I17" i="4" s="1"/>
  <c r="X17" i="4" a="1"/>
  <c r="X17" i="4" s="1"/>
  <c r="M17" i="4" a="1"/>
  <c r="M17" i="4" s="1"/>
  <c r="J17" i="4" a="1"/>
  <c r="J17" i="4" s="1"/>
  <c r="P17" i="4" a="1"/>
  <c r="P17" i="4" s="1"/>
  <c r="Q17" i="4" a="1"/>
  <c r="Q17" i="4" s="1"/>
  <c r="AB17" i="4" a="1"/>
  <c r="AB17" i="4" s="1"/>
  <c r="W17" i="4" a="1"/>
  <c r="W17" i="4" s="1"/>
  <c r="AA17" i="4" a="1"/>
  <c r="AA17" i="4" s="1"/>
  <c r="K17" i="4" a="1"/>
  <c r="K17" i="4" s="1"/>
  <c r="Y17" i="4" a="1"/>
  <c r="Y17" i="4" s="1"/>
  <c r="U17" i="4" a="1"/>
  <c r="U17" i="4" s="1"/>
  <c r="N17" i="4" a="1"/>
  <c r="N17" i="4" s="1"/>
  <c r="T17" i="4" a="1"/>
  <c r="T17" i="4" s="1"/>
  <c r="V17" i="4" a="1"/>
  <c r="V17" i="4" s="1"/>
  <c r="O17" i="4" a="1"/>
  <c r="O17" i="4" s="1"/>
  <c r="Z17" i="4" a="1"/>
  <c r="Z17" i="4" s="1"/>
  <c r="R17" i="4" a="1"/>
  <c r="R17" i="4" s="1"/>
  <c r="L17" i="4" a="1"/>
  <c r="L17" i="4" s="1"/>
  <c r="S17" i="4" a="1"/>
  <c r="S17" i="4" s="1"/>
  <c r="L13" i="4" a="1"/>
  <c r="L13" i="4" s="1"/>
  <c r="X13" i="4" a="1"/>
  <c r="X13" i="4" s="1"/>
  <c r="AB13" i="4" a="1"/>
  <c r="AB13" i="4" s="1"/>
  <c r="H13" i="4" a="1"/>
  <c r="H13" i="4" s="1"/>
  <c r="P13" i="4" a="1"/>
  <c r="P13" i="4" s="1"/>
  <c r="R13" i="4" a="1"/>
  <c r="R13" i="4" s="1"/>
  <c r="S13" i="4" a="1"/>
  <c r="S13" i="4" s="1"/>
  <c r="AC13" i="4" a="1"/>
  <c r="AC13" i="4" s="1"/>
  <c r="AD13" i="4" a="1"/>
  <c r="AD13" i="4" s="1"/>
  <c r="AE13" i="4" a="1"/>
  <c r="AE13" i="4" s="1"/>
  <c r="AF13" i="4" a="1"/>
  <c r="AF13" i="4" s="1"/>
  <c r="AG13" i="4" a="1"/>
  <c r="AG13" i="4" s="1"/>
  <c r="U13" i="4" a="1"/>
  <c r="U13" i="4" s="1"/>
  <c r="W13" i="4" a="1"/>
  <c r="W13" i="4" s="1"/>
  <c r="Z13" i="4" a="1"/>
  <c r="Z13" i="4" s="1"/>
  <c r="AA13" i="4" a="1"/>
  <c r="AA13" i="4" s="1"/>
  <c r="I13" i="4" a="1"/>
  <c r="I13" i="4" s="1"/>
  <c r="K13" i="4" a="1"/>
  <c r="K13" i="4" s="1"/>
  <c r="M13" i="4" a="1"/>
  <c r="M13" i="4" s="1"/>
  <c r="O13" i="4" a="1"/>
  <c r="O13" i="4" s="1"/>
  <c r="Q13" i="4" a="1"/>
  <c r="Q13" i="4" s="1"/>
  <c r="T13" i="4" a="1"/>
  <c r="T13" i="4" s="1"/>
  <c r="V13" i="4" a="1"/>
  <c r="V13" i="4" s="1"/>
  <c r="J13" i="4" a="1"/>
  <c r="J13" i="4" s="1"/>
  <c r="N13" i="4" a="1"/>
  <c r="N13" i="4" s="1"/>
  <c r="Y13" i="4" a="1"/>
  <c r="Y13" i="4" s="1"/>
  <c r="AC23" i="4" a="1"/>
  <c r="AC23" i="4" s="1"/>
  <c r="AE23" i="4" a="1"/>
  <c r="AE23" i="4" s="1"/>
  <c r="AG23" i="4" a="1"/>
  <c r="AG23" i="4" s="1"/>
  <c r="AD23" i="4" a="1"/>
  <c r="AD23" i="4" s="1"/>
  <c r="AF23" i="4" a="1"/>
  <c r="AF23" i="4" s="1"/>
  <c r="AF24" i="4" a="1"/>
  <c r="AF24" i="4" s="1"/>
  <c r="AE24" i="4" a="1"/>
  <c r="AE24" i="4" s="1"/>
  <c r="AC24" i="4" a="1"/>
  <c r="AC24" i="4" s="1"/>
  <c r="AG24" i="4" a="1"/>
  <c r="AG24" i="4" s="1"/>
  <c r="AD24" i="4" a="1"/>
  <c r="AD24" i="4" s="1"/>
  <c r="AF25" i="4" a="1"/>
  <c r="AF25" i="4" s="1"/>
  <c r="AD25" i="4" a="1"/>
  <c r="AD25" i="4" s="1"/>
  <c r="AE25" i="4" a="1"/>
  <c r="AE25" i="4" s="1"/>
  <c r="AC25" i="4" a="1"/>
  <c r="AC25" i="4" s="1"/>
  <c r="AG25" i="4" a="1"/>
  <c r="AG25" i="4" s="1"/>
  <c r="Q24" i="4" a="1"/>
  <c r="Q24" i="4" s="1"/>
  <c r="P24" i="4" a="1"/>
  <c r="P24" i="4" s="1"/>
  <c r="Q25" i="4" a="1"/>
  <c r="Q25" i="4" s="1"/>
  <c r="P25" i="4" a="1"/>
  <c r="P25" i="4" s="1"/>
  <c r="W23" i="4" a="1"/>
  <c r="W23" i="4" s="1"/>
  <c r="Z23" i="4" a="1"/>
  <c r="Z23" i="4" s="1"/>
  <c r="V23" i="4" a="1"/>
  <c r="V23" i="4" s="1"/>
  <c r="T23" i="4" a="1"/>
  <c r="T23" i="4" s="1"/>
  <c r="H23" i="4" a="1"/>
  <c r="H23" i="4" s="1"/>
  <c r="R23" i="4" a="1"/>
  <c r="R23" i="4" s="1"/>
  <c r="M23" i="4" a="1"/>
  <c r="M23" i="4" s="1"/>
  <c r="I23" i="4" a="1"/>
  <c r="I23" i="4" s="1"/>
  <c r="N23" i="4" a="1"/>
  <c r="N23" i="4" s="1"/>
  <c r="J23" i="4" a="1"/>
  <c r="J23" i="4" s="1"/>
  <c r="AB23" i="4" a="1"/>
  <c r="AB23" i="4" s="1"/>
  <c r="Y23" i="4" a="1"/>
  <c r="Y23" i="4" s="1"/>
  <c r="U23" i="4" a="1"/>
  <c r="U23" i="4" s="1"/>
  <c r="AA23" i="4" a="1"/>
  <c r="AA23" i="4" s="1"/>
  <c r="X23" i="4" a="1"/>
  <c r="X23" i="4" s="1"/>
  <c r="Q23" i="4" a="1"/>
  <c r="Q23" i="4" s="1"/>
  <c r="S23" i="4" a="1"/>
  <c r="S23" i="4" s="1"/>
  <c r="O23" i="4" a="1"/>
  <c r="O23" i="4" s="1"/>
  <c r="K23" i="4" a="1"/>
  <c r="K23" i="4" s="1"/>
  <c r="P23" i="4" a="1"/>
  <c r="P23" i="4" s="1"/>
  <c r="L23" i="4" a="1"/>
  <c r="L23" i="4" s="1"/>
  <c r="AB24" i="4" a="1"/>
  <c r="AB24" i="4" s="1"/>
  <c r="U24" i="4" a="1"/>
  <c r="U24" i="4" s="1"/>
  <c r="X24" i="4" a="1"/>
  <c r="X24" i="4" s="1"/>
  <c r="V24" i="4" a="1"/>
  <c r="V24" i="4" s="1"/>
  <c r="AA24" i="4" a="1"/>
  <c r="AA24" i="4" s="1"/>
  <c r="Y24" i="4" a="1"/>
  <c r="Y24" i="4" s="1"/>
  <c r="T24" i="4" a="1"/>
  <c r="T24" i="4" s="1"/>
  <c r="W24" i="4" a="1"/>
  <c r="W24" i="4" s="1"/>
  <c r="Z24" i="4" a="1"/>
  <c r="Z24" i="4" s="1"/>
  <c r="AB25" i="4" a="1"/>
  <c r="AB25" i="4" s="1"/>
  <c r="AA25" i="4" a="1"/>
  <c r="AA25" i="4" s="1"/>
  <c r="Z25" i="4" a="1"/>
  <c r="Z25" i="4" s="1"/>
  <c r="U25" i="4" a="1"/>
  <c r="U25" i="4" s="1"/>
  <c r="X25" i="4" a="1"/>
  <c r="X25" i="4" s="1"/>
  <c r="Y25" i="4" a="1"/>
  <c r="Y25" i="4" s="1"/>
  <c r="T25" i="4" a="1"/>
  <c r="T25" i="4" s="1"/>
  <c r="W25" i="4" a="1"/>
  <c r="W25" i="4" s="1"/>
  <c r="V25" i="4" a="1"/>
  <c r="V25" i="4" s="1"/>
  <c r="S24" i="4" a="1"/>
  <c r="S24" i="4" s="1"/>
  <c r="O24" i="4" a="1"/>
  <c r="O24" i="4" s="1"/>
  <c r="M24" i="4" a="1"/>
  <c r="M24" i="4" s="1"/>
  <c r="I24" i="4" a="1"/>
  <c r="I24" i="4" s="1"/>
  <c r="H24" i="4" a="1"/>
  <c r="H24" i="4" s="1"/>
  <c r="R24" i="4" a="1"/>
  <c r="R24" i="4" s="1"/>
  <c r="N24" i="4" a="1"/>
  <c r="N24" i="4" s="1"/>
  <c r="L24" i="4" a="1"/>
  <c r="L24" i="4" s="1"/>
  <c r="J24" i="4" a="1"/>
  <c r="J24" i="4" s="1"/>
  <c r="K24" i="4" a="1"/>
  <c r="K24" i="4" s="1"/>
  <c r="M25" i="4" a="1"/>
  <c r="M25" i="4" s="1"/>
  <c r="O25" i="4" a="1"/>
  <c r="O25" i="4" s="1"/>
  <c r="S25" i="4" a="1"/>
  <c r="S25" i="4" s="1"/>
  <c r="N25" i="4" a="1"/>
  <c r="N25" i="4" s="1"/>
  <c r="L25" i="4" a="1"/>
  <c r="L25" i="4" s="1"/>
  <c r="J25" i="4" a="1"/>
  <c r="J25" i="4" s="1"/>
  <c r="R25" i="4" a="1"/>
  <c r="R25" i="4" s="1"/>
  <c r="K25" i="4" a="1"/>
  <c r="K25" i="4" s="1"/>
  <c r="H25" i="4" a="1"/>
  <c r="H25" i="4" s="1"/>
  <c r="I25" i="4" a="1"/>
  <c r="I25" i="4" s="1"/>
  <c r="G4" i="5" l="1" a="1"/>
  <c r="E4" i="5" a="1"/>
  <c r="D4" i="5" a="1"/>
  <c r="F4" i="5" a="1"/>
  <c r="G4" i="5" l="1"/>
  <c r="E4" i="5"/>
  <c r="D4" i="5"/>
  <c r="F4" i="5"/>
  <c r="I4" i="5" s="1" a="1"/>
  <c r="J4" i="5" l="1" a="1"/>
  <c r="J4" i="5" s="1"/>
  <c r="HE16" i="5"/>
  <c r="HC16" i="5"/>
  <c r="HA16" i="5"/>
  <c r="GY16" i="5"/>
  <c r="GW16" i="5"/>
  <c r="GU16" i="5"/>
  <c r="GS16" i="5"/>
  <c r="GQ16" i="5"/>
  <c r="GO16" i="5"/>
  <c r="GM16" i="5"/>
  <c r="GK16" i="5"/>
  <c r="JD15" i="5"/>
  <c r="JB15" i="5"/>
  <c r="IZ15" i="5"/>
  <c r="IX15" i="5"/>
  <c r="IV15" i="5"/>
  <c r="IU15" i="5"/>
  <c r="IS15" i="5"/>
  <c r="IQ15" i="5"/>
  <c r="IO15" i="5"/>
  <c r="IM15" i="5"/>
  <c r="IK15" i="5"/>
  <c r="II15" i="5"/>
  <c r="IF15" i="5"/>
  <c r="ID15" i="5"/>
  <c r="IA15" i="5"/>
  <c r="HY15" i="5"/>
  <c r="HW15" i="5"/>
  <c r="HV15" i="5"/>
  <c r="HT15" i="5"/>
  <c r="HR15" i="5"/>
  <c r="HQ15" i="5"/>
  <c r="HP15" i="5"/>
  <c r="HO15" i="5"/>
  <c r="HN15" i="5"/>
  <c r="HM15" i="5"/>
  <c r="HL15" i="5"/>
  <c r="HK15" i="5"/>
  <c r="HJ15" i="5"/>
  <c r="HI15" i="5"/>
  <c r="HH15" i="5"/>
  <c r="HG15" i="5"/>
  <c r="HF15" i="5"/>
  <c r="HE15" i="5"/>
  <c r="HD15" i="5"/>
  <c r="GR9" i="5"/>
  <c r="GP9" i="5"/>
  <c r="GN9" i="5"/>
  <c r="GL9" i="5"/>
  <c r="GJ9" i="5"/>
  <c r="GG9" i="5"/>
  <c r="JD8" i="5"/>
  <c r="JB8" i="5"/>
  <c r="IZ8" i="5"/>
  <c r="IX8" i="5"/>
  <c r="IU8" i="5"/>
  <c r="IS8" i="5"/>
  <c r="IQ8" i="5"/>
  <c r="IO8" i="5"/>
  <c r="IM8" i="5"/>
  <c r="IK8" i="5"/>
  <c r="II8" i="5"/>
  <c r="IG8" i="5"/>
  <c r="IE8" i="5"/>
  <c r="IC8" i="5"/>
  <c r="IA8" i="5"/>
  <c r="HY8" i="5"/>
  <c r="HW8" i="5"/>
  <c r="HU8" i="5"/>
  <c r="HT8" i="5"/>
  <c r="HR8" i="5"/>
  <c r="HP8" i="5"/>
  <c r="HN8" i="5"/>
  <c r="HM8" i="5"/>
  <c r="HK8" i="5"/>
  <c r="HI8" i="5"/>
  <c r="HG8" i="5"/>
  <c r="HE8" i="5"/>
  <c r="HC8" i="5"/>
  <c r="HA8" i="5"/>
  <c r="GY8" i="5"/>
  <c r="GW8" i="5"/>
  <c r="GU8" i="5"/>
  <c r="GR8" i="5"/>
  <c r="GP8" i="5"/>
  <c r="GM8" i="5"/>
  <c r="GK8" i="5"/>
  <c r="GI8" i="5"/>
  <c r="GF8" i="5"/>
  <c r="JC7" i="5"/>
  <c r="JA7" i="5"/>
  <c r="IZ7" i="5"/>
  <c r="IX7" i="5"/>
  <c r="IV7" i="5"/>
  <c r="IT7" i="5"/>
  <c r="IQ7" i="5"/>
  <c r="IO7" i="5"/>
  <c r="IM7" i="5"/>
  <c r="IK7" i="5"/>
  <c r="II7" i="5"/>
  <c r="IG7" i="5"/>
  <c r="IE7" i="5"/>
  <c r="IC7" i="5"/>
  <c r="IA7" i="5"/>
  <c r="HY7" i="5"/>
  <c r="HW7" i="5"/>
  <c r="HU7" i="5"/>
  <c r="HS7" i="5"/>
  <c r="HQ7" i="5"/>
  <c r="HN7" i="5"/>
  <c r="HK7" i="5"/>
  <c r="HJ7" i="5"/>
  <c r="HH7" i="5"/>
  <c r="HF7" i="5"/>
  <c r="HD7" i="5"/>
  <c r="HC7" i="5"/>
  <c r="HB7" i="5"/>
  <c r="HA7" i="5"/>
  <c r="GZ7" i="5"/>
  <c r="GY7" i="5"/>
  <c r="GX7" i="5"/>
  <c r="GW7" i="5"/>
  <c r="GV7" i="5"/>
  <c r="GU7" i="5"/>
  <c r="GT7" i="5"/>
  <c r="GS7" i="5"/>
  <c r="GR7" i="5"/>
  <c r="GQ7" i="5"/>
  <c r="GP7" i="5"/>
  <c r="GO7" i="5"/>
  <c r="GN7" i="5"/>
  <c r="GM7" i="5"/>
  <c r="GL7" i="5"/>
  <c r="GK7" i="5"/>
  <c r="GJ7" i="5"/>
  <c r="GI7" i="5"/>
  <c r="GH7" i="5"/>
  <c r="GG7" i="5"/>
  <c r="GF7" i="5"/>
  <c r="JD6" i="5"/>
  <c r="JC6" i="5"/>
  <c r="JB6" i="5"/>
  <c r="JA6" i="5"/>
  <c r="IZ6" i="5"/>
  <c r="IY6" i="5"/>
  <c r="IX6" i="5"/>
  <c r="IW6" i="5"/>
  <c r="IV6" i="5"/>
  <c r="IU6" i="5"/>
  <c r="IT6" i="5"/>
  <c r="IS6" i="5"/>
  <c r="IR6" i="5"/>
  <c r="IQ6" i="5"/>
  <c r="IP6" i="5"/>
  <c r="IO6" i="5"/>
  <c r="IN6" i="5"/>
  <c r="IM6" i="5"/>
  <c r="IL6" i="5"/>
  <c r="IK6" i="5"/>
  <c r="IJ6" i="5"/>
  <c r="II6" i="5"/>
  <c r="IC6" i="5"/>
  <c r="IA6" i="5"/>
  <c r="HY6" i="5"/>
  <c r="HW6" i="5"/>
  <c r="HU6" i="5"/>
  <c r="HT6" i="5"/>
  <c r="HR6" i="5"/>
  <c r="HQ6" i="5"/>
  <c r="HO6" i="5"/>
  <c r="HM6" i="5"/>
  <c r="HK6" i="5"/>
  <c r="HI6" i="5"/>
  <c r="HG6" i="5"/>
  <c r="HE6" i="5"/>
  <c r="HC6" i="5"/>
  <c r="HA6" i="5"/>
  <c r="GY6" i="5"/>
  <c r="GW6" i="5"/>
  <c r="GU6" i="5"/>
  <c r="GS6" i="5"/>
  <c r="GQ6" i="5"/>
  <c r="GO6" i="5"/>
  <c r="GM6" i="5"/>
  <c r="GK6" i="5"/>
  <c r="GI6" i="5"/>
  <c r="GG6" i="5"/>
  <c r="JC5" i="5"/>
  <c r="JA5" i="5"/>
  <c r="IY5" i="5"/>
  <c r="IW5" i="5"/>
  <c r="IU5" i="5"/>
  <c r="IS5" i="5"/>
  <c r="IQ5" i="5"/>
  <c r="IO5" i="5"/>
  <c r="IM5" i="5"/>
  <c r="IK5" i="5"/>
  <c r="II5" i="5"/>
  <c r="IG5" i="5"/>
  <c r="IE5" i="5"/>
  <c r="IC5" i="5"/>
  <c r="IA5" i="5"/>
  <c r="HX5" i="5"/>
  <c r="HU5" i="5"/>
  <c r="HS5" i="5"/>
  <c r="HQ5" i="5"/>
  <c r="HO5" i="5"/>
  <c r="HM5" i="5"/>
  <c r="HK5" i="5"/>
  <c r="HI5" i="5"/>
  <c r="HG5" i="5"/>
  <c r="HF5" i="5"/>
  <c r="HD5" i="5"/>
  <c r="HB5" i="5"/>
  <c r="GZ5" i="5"/>
  <c r="GX5" i="5"/>
  <c r="GV5" i="5"/>
  <c r="GU5" i="5"/>
  <c r="GS5" i="5"/>
  <c r="GQ5" i="5"/>
  <c r="GO5" i="5"/>
  <c r="GM5" i="5"/>
  <c r="GK5" i="5"/>
  <c r="GI5" i="5"/>
  <c r="GG5" i="5"/>
  <c r="JC4" i="5"/>
  <c r="JA4" i="5"/>
  <c r="IX4" i="5"/>
  <c r="IU4" i="5"/>
  <c r="IS4" i="5"/>
  <c r="IQ4" i="5"/>
  <c r="IO4" i="5"/>
  <c r="IM4" i="5"/>
  <c r="IK4" i="5"/>
  <c r="II4" i="5"/>
  <c r="IG4" i="5"/>
  <c r="IE4" i="5"/>
  <c r="IC4" i="5"/>
  <c r="IA4" i="5"/>
  <c r="HQ4" i="5"/>
  <c r="HO4" i="5"/>
  <c r="HM4" i="5"/>
  <c r="HK4" i="5"/>
  <c r="HI4" i="5"/>
  <c r="HG4" i="5"/>
  <c r="HE4" i="5"/>
  <c r="HC4" i="5"/>
  <c r="HA4" i="5"/>
  <c r="GY4" i="5"/>
  <c r="GW4" i="5"/>
  <c r="GU4" i="5"/>
  <c r="GS4" i="5"/>
  <c r="GQ4" i="5"/>
  <c r="GO4" i="5"/>
  <c r="GM4" i="5"/>
  <c r="GJ4" i="5"/>
  <c r="GH4" i="5"/>
  <c r="GG4" i="5"/>
  <c r="JC3" i="5"/>
  <c r="IZ3" i="5"/>
  <c r="IX3" i="5"/>
  <c r="IV3" i="5"/>
  <c r="IT3" i="5"/>
  <c r="IR3" i="5"/>
  <c r="IP3" i="5"/>
  <c r="IN3" i="5"/>
  <c r="IL3" i="5"/>
  <c r="IJ3" i="5"/>
  <c r="IH3" i="5"/>
  <c r="IF3" i="5"/>
  <c r="IE3" i="5"/>
  <c r="IC3" i="5"/>
  <c r="IA3" i="5"/>
  <c r="HY3" i="5"/>
  <c r="HW3" i="5"/>
  <c r="HU3" i="5"/>
  <c r="HS3" i="5"/>
  <c r="HQ3" i="5"/>
  <c r="HO3" i="5"/>
  <c r="HM3" i="5"/>
  <c r="HK3" i="5"/>
  <c r="HI3" i="5"/>
  <c r="HG3" i="5"/>
  <c r="HE3" i="5"/>
  <c r="HC3" i="5"/>
  <c r="HA3" i="5"/>
  <c r="GY3" i="5"/>
  <c r="GW3" i="5"/>
  <c r="GU3" i="5"/>
  <c r="GS3" i="5"/>
  <c r="GQ3" i="5"/>
  <c r="GN3" i="5"/>
  <c r="GL3" i="5"/>
  <c r="GI3" i="5"/>
  <c r="JC2" i="5"/>
  <c r="JA2" i="5"/>
  <c r="IY2" i="5"/>
  <c r="IW2" i="5"/>
  <c r="IU2" i="5"/>
  <c r="IS2" i="5"/>
  <c r="IR2" i="5"/>
  <c r="IP2" i="5"/>
  <c r="IN2" i="5"/>
  <c r="IL2" i="5"/>
  <c r="IJ2" i="5"/>
  <c r="IH2" i="5"/>
  <c r="IF2" i="5"/>
  <c r="ID2" i="5"/>
  <c r="IB2" i="5"/>
  <c r="HZ2" i="5"/>
  <c r="HX2" i="5"/>
  <c r="HV2" i="5"/>
  <c r="HT2" i="5"/>
  <c r="HR2" i="5"/>
  <c r="HP2" i="5"/>
  <c r="HN2" i="5"/>
  <c r="HK2" i="5"/>
  <c r="HH2" i="5"/>
  <c r="HF2" i="5"/>
  <c r="HD2" i="5"/>
  <c r="HB2" i="5"/>
  <c r="GZ2" i="5"/>
  <c r="GX2" i="5"/>
  <c r="GV2" i="5"/>
  <c r="GU2" i="5"/>
  <c r="GS2" i="5"/>
  <c r="GQ2" i="5"/>
  <c r="GO2" i="5"/>
  <c r="GM2" i="5"/>
  <c r="GK2" i="5"/>
  <c r="GI2" i="5"/>
  <c r="GF2" i="5"/>
  <c r="HZ21" i="5"/>
  <c r="HY21" i="5"/>
  <c r="HX21" i="5"/>
  <c r="HW21" i="5"/>
  <c r="HV21" i="5"/>
  <c r="HU21" i="5"/>
  <c r="HT21" i="5"/>
  <c r="HS21" i="5"/>
  <c r="HR21" i="5"/>
  <c r="HQ21" i="5"/>
  <c r="HP21" i="5"/>
  <c r="HO21" i="5"/>
  <c r="HN21" i="5"/>
  <c r="HM21" i="5"/>
  <c r="HL21" i="5"/>
  <c r="HK21" i="5"/>
  <c r="HJ21" i="5"/>
  <c r="HI21" i="5"/>
  <c r="HH21" i="5"/>
  <c r="HG21" i="5"/>
  <c r="HF21" i="5"/>
  <c r="HE21" i="5"/>
  <c r="HD21" i="5"/>
  <c r="HC21" i="5"/>
  <c r="HB21" i="5"/>
  <c r="HA21" i="5"/>
  <c r="GZ21" i="5"/>
  <c r="GY21" i="5"/>
  <c r="GX21" i="5"/>
  <c r="GW21" i="5"/>
  <c r="GV21" i="5"/>
  <c r="GU21" i="5"/>
  <c r="GT21" i="5"/>
  <c r="GS21" i="5"/>
  <c r="GR21" i="5"/>
  <c r="GQ21" i="5"/>
  <c r="GP21" i="5"/>
  <c r="GO21" i="5"/>
  <c r="GN21" i="5"/>
  <c r="GM21" i="5"/>
  <c r="GL21" i="5"/>
  <c r="GK21" i="5"/>
  <c r="JD20" i="5"/>
  <c r="JC20" i="5"/>
  <c r="JB20" i="5"/>
  <c r="JA20" i="5"/>
  <c r="IZ20" i="5"/>
  <c r="IY20" i="5"/>
  <c r="IX20" i="5"/>
  <c r="IW20" i="5"/>
  <c r="IV20" i="5"/>
  <c r="IU20" i="5"/>
  <c r="IT20" i="5"/>
  <c r="IS20" i="5"/>
  <c r="IR20" i="5"/>
  <c r="IQ20" i="5"/>
  <c r="IP20" i="5"/>
  <c r="IO20" i="5"/>
  <c r="IN20" i="5"/>
  <c r="IM20" i="5"/>
  <c r="IL20" i="5"/>
  <c r="IK20" i="5"/>
  <c r="IJ20" i="5"/>
  <c r="II20" i="5"/>
  <c r="IH20" i="5"/>
  <c r="IG20" i="5"/>
  <c r="IF20" i="5"/>
  <c r="IE20" i="5"/>
  <c r="ID20" i="5"/>
  <c r="IC20" i="5"/>
  <c r="IB20" i="5"/>
  <c r="IA20" i="5"/>
  <c r="HZ20" i="5"/>
  <c r="HY20" i="5"/>
  <c r="HX20" i="5"/>
  <c r="HW20" i="5"/>
  <c r="HV20" i="5"/>
  <c r="HT12" i="5"/>
  <c r="HR12" i="5"/>
  <c r="HP12" i="5"/>
  <c r="HM12" i="5"/>
  <c r="HK12" i="5"/>
  <c r="HI12" i="5"/>
  <c r="HH12" i="5"/>
  <c r="HF12" i="5"/>
  <c r="HD12" i="5"/>
  <c r="HA12" i="5"/>
  <c r="GY12" i="5"/>
  <c r="GW12" i="5"/>
  <c r="GV12" i="5"/>
  <c r="GT12" i="5"/>
  <c r="GR12" i="5"/>
  <c r="GP12" i="5"/>
  <c r="GN12" i="5"/>
  <c r="GM12" i="5"/>
  <c r="GJ12" i="5"/>
  <c r="GH12" i="5"/>
  <c r="GF12" i="5"/>
  <c r="JC11" i="5"/>
  <c r="JA11" i="5"/>
  <c r="IZ11" i="5"/>
  <c r="IY11" i="5"/>
  <c r="IW11" i="5"/>
  <c r="IQ11" i="5"/>
  <c r="IO11" i="5"/>
  <c r="IM11" i="5"/>
  <c r="IK11" i="5"/>
  <c r="II11" i="5"/>
  <c r="ID11" i="5"/>
  <c r="IB11" i="5"/>
  <c r="HZ11" i="5"/>
  <c r="HX11" i="5"/>
  <c r="FD13" i="5"/>
  <c r="FA13" i="5"/>
  <c r="EY13" i="5"/>
  <c r="EW13" i="5"/>
  <c r="EU13" i="5"/>
  <c r="ES13" i="5"/>
  <c r="EQ13" i="5"/>
  <c r="EP13" i="5"/>
  <c r="EN13" i="5"/>
  <c r="EL13" i="5"/>
  <c r="EJ13" i="5"/>
  <c r="EG13" i="5"/>
  <c r="EE13" i="5"/>
  <c r="ED13" i="5"/>
  <c r="EB13" i="5"/>
  <c r="DZ13" i="5"/>
  <c r="DX13" i="5"/>
  <c r="DU13" i="5"/>
  <c r="DS13" i="5"/>
  <c r="DQ13" i="5"/>
  <c r="DO13" i="5"/>
  <c r="DM13" i="5"/>
  <c r="DK13" i="5"/>
  <c r="DI13" i="5"/>
  <c r="DG13" i="5"/>
  <c r="DF13" i="5"/>
  <c r="DC13" i="5"/>
  <c r="DA13" i="5"/>
  <c r="FX12" i="5"/>
  <c r="FV12" i="5"/>
  <c r="FT12" i="5"/>
  <c r="FS12" i="5"/>
  <c r="FR12" i="5"/>
  <c r="FP12" i="5"/>
  <c r="FN12" i="5"/>
  <c r="FM12" i="5"/>
  <c r="FK12" i="5"/>
  <c r="FI12" i="5"/>
  <c r="FG12" i="5"/>
  <c r="FE12" i="5"/>
  <c r="FB12" i="5"/>
  <c r="EZ12" i="5"/>
  <c r="EX12" i="5"/>
  <c r="EV12" i="5"/>
  <c r="ET12" i="5"/>
  <c r="EQ12" i="5"/>
  <c r="EP12" i="5"/>
  <c r="EN12" i="5"/>
  <c r="EM12" i="5"/>
  <c r="EK12" i="5"/>
  <c r="EJ12" i="5"/>
  <c r="EH12" i="5"/>
  <c r="EG12" i="5"/>
  <c r="EE12" i="5"/>
  <c r="EC12" i="5"/>
  <c r="DZ12" i="5"/>
  <c r="DX12" i="5"/>
  <c r="DV12" i="5"/>
  <c r="DT12" i="5"/>
  <c r="DS12" i="5"/>
  <c r="DQ12" i="5"/>
  <c r="DO12" i="5"/>
  <c r="DL12" i="5"/>
  <c r="DK12" i="5"/>
  <c r="DJ12" i="5"/>
  <c r="DH12" i="5"/>
  <c r="DD12" i="5"/>
  <c r="DC12" i="5"/>
  <c r="DB12" i="5"/>
  <c r="DA12" i="5"/>
  <c r="FX11" i="5"/>
  <c r="FU11" i="5"/>
  <c r="FT11" i="5"/>
  <c r="FQ11" i="5"/>
  <c r="FL11" i="5"/>
  <c r="FJ11" i="5"/>
  <c r="FH11" i="5"/>
  <c r="FF11" i="5"/>
  <c r="FD11" i="5"/>
  <c r="FB11" i="5"/>
  <c r="EX11" i="5"/>
  <c r="EV11" i="5"/>
  <c r="ES11" i="5"/>
  <c r="EQ11" i="5"/>
  <c r="EP11" i="5"/>
  <c r="EN11" i="5"/>
  <c r="EI11" i="5"/>
  <c r="EG11" i="5"/>
  <c r="EC11" i="5"/>
  <c r="DZ11" i="5"/>
  <c r="DW11" i="5"/>
  <c r="DU11" i="5"/>
  <c r="DT11" i="5"/>
  <c r="DO11" i="5"/>
  <c r="DM11" i="5"/>
  <c r="DL11" i="5"/>
  <c r="DJ11" i="5"/>
  <c r="DI11" i="5"/>
  <c r="DG11" i="5"/>
  <c r="DA11" i="5"/>
  <c r="FX10" i="5"/>
  <c r="FV10" i="5"/>
  <c r="FT10" i="5"/>
  <c r="FS10" i="5"/>
  <c r="FR10" i="5"/>
  <c r="FP10" i="5"/>
  <c r="FL10" i="5"/>
  <c r="FJ10" i="5"/>
  <c r="FH10" i="5"/>
  <c r="FG10" i="5"/>
  <c r="FD10" i="5"/>
  <c r="FB10" i="5"/>
  <c r="EW10" i="5"/>
  <c r="EU10" i="5"/>
  <c r="EQ10" i="5"/>
  <c r="EO10" i="5"/>
  <c r="EJ10" i="5"/>
  <c r="EH10" i="5"/>
  <c r="EE10" i="5"/>
  <c r="EC10" i="5"/>
  <c r="EA10" i="5"/>
  <c r="DY10" i="5"/>
  <c r="DW10" i="5"/>
  <c r="DU10" i="5"/>
  <c r="DS10" i="5"/>
  <c r="DN10" i="5"/>
  <c r="DL10" i="5"/>
  <c r="DK10" i="5"/>
  <c r="DI10" i="5"/>
  <c r="DG10" i="5"/>
  <c r="DE10" i="5"/>
  <c r="CZ10" i="5"/>
  <c r="FX9" i="5"/>
  <c r="FV9" i="5"/>
  <c r="FT9" i="5"/>
  <c r="FR9" i="5"/>
  <c r="FQ9" i="5"/>
  <c r="FO9" i="5"/>
  <c r="FM9" i="5"/>
  <c r="FL9" i="5"/>
  <c r="FJ9" i="5"/>
  <c r="FI9" i="5"/>
  <c r="FG9" i="5"/>
  <c r="FF9" i="5"/>
  <c r="FE9" i="5"/>
  <c r="FC9" i="5"/>
  <c r="FA9" i="5"/>
  <c r="EZ9" i="5"/>
  <c r="EX9" i="5"/>
  <c r="EV9" i="5"/>
  <c r="ET9" i="5"/>
  <c r="ER9" i="5"/>
  <c r="EQ9" i="5"/>
  <c r="EO9" i="5"/>
  <c r="EN9" i="5"/>
  <c r="EL9" i="5"/>
  <c r="EI9" i="5"/>
  <c r="EG9" i="5"/>
  <c r="EF9" i="5"/>
  <c r="ED9" i="5"/>
  <c r="EC9" i="5"/>
  <c r="EA9" i="5"/>
  <c r="DY9" i="5"/>
  <c r="DW9" i="5"/>
  <c r="DT9" i="5"/>
  <c r="DR9" i="5"/>
  <c r="DO9" i="5"/>
  <c r="DN9" i="5"/>
  <c r="DK9" i="5"/>
  <c r="DH9" i="5"/>
  <c r="DF9" i="5"/>
  <c r="DD9" i="5"/>
  <c r="DB9" i="5"/>
  <c r="CZ9" i="5"/>
  <c r="FW8" i="5"/>
  <c r="FV8" i="5"/>
  <c r="FT8" i="5"/>
  <c r="FQ8" i="5"/>
  <c r="FO8" i="5"/>
  <c r="FM8" i="5"/>
  <c r="FK8" i="5"/>
  <c r="FI8" i="5"/>
  <c r="FG8" i="5"/>
  <c r="FD8" i="5"/>
  <c r="FA8" i="5"/>
  <c r="EY8" i="5"/>
  <c r="EW8" i="5"/>
  <c r="EU8" i="5"/>
  <c r="ES8" i="5"/>
  <c r="EQ8" i="5"/>
  <c r="EP8" i="5"/>
  <c r="EO8" i="5"/>
  <c r="EN8" i="5"/>
  <c r="EM8" i="5"/>
  <c r="EL8" i="5"/>
  <c r="EK8" i="5"/>
  <c r="EJ8" i="5"/>
  <c r="EI8" i="5"/>
  <c r="EH8" i="5"/>
  <c r="EG8" i="5"/>
  <c r="EF8" i="5"/>
  <c r="EE8" i="5"/>
  <c r="ED8" i="5"/>
  <c r="EC8" i="5"/>
  <c r="EB8" i="5"/>
  <c r="EA8" i="5"/>
  <c r="DZ8" i="5"/>
  <c r="DY8" i="5"/>
  <c r="DX8" i="5"/>
  <c r="DW8" i="5"/>
  <c r="DV8" i="5"/>
  <c r="DU8" i="5"/>
  <c r="DT8" i="5"/>
  <c r="DS8" i="5"/>
  <c r="DR8" i="5"/>
  <c r="DQ8" i="5"/>
  <c r="DP8" i="5"/>
  <c r="DO8" i="5"/>
  <c r="DN8" i="5"/>
  <c r="DM8" i="5"/>
  <c r="DL8" i="5"/>
  <c r="DK8" i="5"/>
  <c r="DJ8" i="5"/>
  <c r="DI8" i="5"/>
  <c r="DH8" i="5"/>
  <c r="DG8" i="5"/>
  <c r="DF8" i="5"/>
  <c r="DE8" i="5"/>
  <c r="DD8" i="5"/>
  <c r="DC8" i="5"/>
  <c r="DB8" i="5"/>
  <c r="DA8" i="5"/>
  <c r="CZ8" i="5"/>
  <c r="FX7" i="5"/>
  <c r="FW7" i="5"/>
  <c r="FV7" i="5"/>
  <c r="FU7" i="5"/>
  <c r="FT7" i="5"/>
  <c r="FS7" i="5"/>
  <c r="DF7" i="5"/>
  <c r="DD7" i="5"/>
  <c r="DA7" i="5"/>
  <c r="FW6" i="5"/>
  <c r="FU6" i="5"/>
  <c r="FS6" i="5"/>
  <c r="FQ6" i="5"/>
  <c r="FN6" i="5"/>
  <c r="FM6" i="5"/>
  <c r="FK6" i="5"/>
  <c r="FI6" i="5"/>
  <c r="FF6" i="5"/>
  <c r="FD6" i="5"/>
  <c r="FA6" i="5"/>
  <c r="EY6" i="5"/>
  <c r="EW6" i="5"/>
  <c r="ER6" i="5"/>
  <c r="EP6" i="5"/>
  <c r="EN6" i="5"/>
  <c r="EL6" i="5"/>
  <c r="EJ6" i="5"/>
  <c r="EH6" i="5"/>
  <c r="EG6" i="5"/>
  <c r="EE6" i="5"/>
  <c r="EB6" i="5"/>
  <c r="DZ6" i="5"/>
  <c r="DY6" i="5"/>
  <c r="DW6" i="5"/>
  <c r="DT6" i="5"/>
  <c r="DS6" i="5"/>
  <c r="DR6" i="5"/>
  <c r="DP6" i="5"/>
  <c r="DO6" i="5"/>
  <c r="DM6" i="5"/>
  <c r="DK6" i="5"/>
  <c r="DI6" i="5"/>
  <c r="DG6" i="5"/>
  <c r="DE6" i="5"/>
  <c r="DC6" i="5"/>
  <c r="CZ6" i="5"/>
  <c r="FW5" i="5"/>
  <c r="FV5" i="5"/>
  <c r="FU5" i="5"/>
  <c r="FS5" i="5"/>
  <c r="FR5" i="5"/>
  <c r="FQ5" i="5"/>
  <c r="FO5" i="5"/>
  <c r="FM5" i="5"/>
  <c r="FK5" i="5"/>
  <c r="FI5" i="5"/>
  <c r="FH5" i="5"/>
  <c r="FF5" i="5"/>
  <c r="FD5" i="5"/>
  <c r="FA5" i="5"/>
  <c r="EY5" i="5"/>
  <c r="EW5" i="5"/>
  <c r="EV5" i="5"/>
  <c r="ET5" i="5"/>
  <c r="EQ5" i="5"/>
  <c r="EO5" i="5"/>
  <c r="EL5" i="5"/>
  <c r="BA5" i="5"/>
  <c r="BB4" i="5"/>
  <c r="AX4" i="5"/>
  <c r="BB3" i="5"/>
  <c r="AZ3" i="5"/>
  <c r="AW3" i="5"/>
  <c r="BA2" i="5"/>
  <c r="AY2" i="5"/>
  <c r="BP13" i="5"/>
  <c r="BN13" i="5"/>
  <c r="BL13" i="5"/>
  <c r="BP12" i="5"/>
  <c r="BM12" i="5"/>
  <c r="BN11" i="5"/>
  <c r="BL11" i="5"/>
  <c r="BJ11" i="5"/>
  <c r="BN10" i="5"/>
  <c r="BO9" i="5"/>
  <c r="BM9" i="5"/>
  <c r="BK9" i="5"/>
  <c r="Y14" i="5"/>
  <c r="T12" i="5"/>
  <c r="V9" i="5"/>
  <c r="Z7" i="5"/>
  <c r="X6" i="5"/>
  <c r="V5" i="5"/>
  <c r="Y2" i="5"/>
  <c r="X14" i="5"/>
  <c r="X13" i="5"/>
  <c r="U12" i="5"/>
  <c r="Y10" i="5"/>
  <c r="U10" i="5"/>
  <c r="W9" i="5"/>
  <c r="T9" i="5"/>
  <c r="Y8" i="5"/>
  <c r="W7" i="5"/>
  <c r="Z6" i="5"/>
  <c r="Z5" i="5"/>
  <c r="W5" i="5"/>
  <c r="Z4" i="5"/>
  <c r="Y3" i="5"/>
  <c r="AB13" i="5"/>
  <c r="AD11" i="5"/>
  <c r="AA11" i="5"/>
  <c r="AD10" i="5"/>
  <c r="AB10" i="5"/>
  <c r="AF9" i="5"/>
  <c r="AB8" i="5"/>
  <c r="AA7" i="5"/>
  <c r="AG5" i="5"/>
  <c r="AC5" i="5"/>
  <c r="AE4" i="5"/>
  <c r="AB4" i="5"/>
  <c r="AB3" i="5"/>
  <c r="AF2" i="5"/>
  <c r="AB2" i="5"/>
  <c r="AG22" i="5"/>
  <c r="AJ21" i="5"/>
  <c r="AI20" i="5"/>
  <c r="AE20" i="5"/>
  <c r="AH19" i="5"/>
  <c r="Z19" i="5"/>
  <c r="Z18" i="5"/>
  <c r="AG17" i="5"/>
  <c r="AE17" i="5"/>
  <c r="BN8" i="5"/>
  <c r="CM10" i="5"/>
  <c r="CQ9" i="5"/>
  <c r="CO9" i="5"/>
  <c r="CP8" i="5"/>
  <c r="CO8" i="5"/>
  <c r="CN8" i="5"/>
  <c r="CR7" i="5"/>
  <c r="CO7" i="5"/>
  <c r="CQ6" i="5"/>
  <c r="CR5" i="5"/>
  <c r="CP5" i="5"/>
  <c r="CO5" i="5"/>
  <c r="CL5" i="5"/>
  <c r="CQ4" i="5"/>
  <c r="CO4" i="5"/>
  <c r="CL4" i="5"/>
  <c r="CO3" i="5"/>
  <c r="CL3" i="5"/>
  <c r="CO2" i="5"/>
  <c r="CM22" i="5"/>
  <c r="CK22" i="5"/>
  <c r="CH22" i="5"/>
  <c r="CR21" i="5"/>
  <c r="CQ21" i="5"/>
  <c r="CN21" i="5"/>
  <c r="CL21" i="5"/>
  <c r="CJ21" i="5"/>
  <c r="CG21" i="5"/>
  <c r="CQ20" i="5"/>
  <c r="CP20" i="5"/>
  <c r="CM20" i="5"/>
  <c r="CI20" i="5"/>
  <c r="CQ19" i="5"/>
  <c r="CO19" i="5"/>
  <c r="CG19" i="5"/>
  <c r="CQ18" i="5"/>
  <c r="CO18" i="5"/>
  <c r="CH18" i="5"/>
  <c r="CQ17" i="5"/>
  <c r="CM17" i="5"/>
  <c r="CJ17" i="5"/>
  <c r="CQ16" i="5"/>
  <c r="CK16" i="5"/>
  <c r="CH16" i="5"/>
  <c r="CR15" i="5"/>
  <c r="CM15" i="5"/>
  <c r="CI15" i="5"/>
  <c r="CG15" i="5"/>
  <c r="AB18" i="5"/>
  <c r="T13" i="5"/>
  <c r="U11" i="5"/>
  <c r="Z8" i="5"/>
  <c r="U7" i="5"/>
  <c r="Y4" i="5"/>
  <c r="X3" i="5"/>
  <c r="W3" i="5"/>
  <c r="T2" i="5"/>
  <c r="AC14" i="5"/>
  <c r="AA14" i="5"/>
  <c r="AC11" i="5"/>
  <c r="AD9" i="5"/>
  <c r="AF8" i="5"/>
  <c r="AD8" i="5"/>
  <c r="AA8" i="5"/>
  <c r="AD6" i="5"/>
  <c r="AD5" i="5"/>
  <c r="AB5" i="5"/>
  <c r="AC4" i="5"/>
  <c r="AE3" i="5"/>
  <c r="AE2" i="5"/>
  <c r="AI22" i="5"/>
  <c r="AA22" i="5"/>
  <c r="Y22" i="5"/>
  <c r="AI21" i="5"/>
  <c r="AG21" i="5"/>
  <c r="AD21" i="5"/>
  <c r="AB21" i="5"/>
  <c r="Y21" i="5"/>
  <c r="AH20" i="5"/>
  <c r="AD20" i="5"/>
  <c r="AA20" i="5"/>
  <c r="AI19" i="5"/>
  <c r="Y19" i="5"/>
  <c r="AI18" i="5"/>
  <c r="AA18" i="5"/>
  <c r="AI17" i="5"/>
  <c r="AF17" i="5"/>
  <c r="AB17" i="5"/>
  <c r="AA17" i="5"/>
  <c r="Z17" i="5"/>
  <c r="Y17" i="5"/>
  <c r="AJ16" i="5"/>
  <c r="AH16" i="5"/>
  <c r="AG16" i="5"/>
  <c r="AE16" i="5"/>
  <c r="AC16" i="5"/>
  <c r="Z16" i="5"/>
  <c r="AJ15" i="5"/>
  <c r="AG15" i="5"/>
  <c r="AB15" i="5"/>
  <c r="Z15" i="5"/>
  <c r="Y15" i="5"/>
  <c r="AN14" i="5"/>
  <c r="AL14" i="5"/>
  <c r="AH14" i="5"/>
  <c r="AL13" i="5"/>
  <c r="AH13" i="5"/>
  <c r="AL12" i="5"/>
  <c r="AK12" i="5"/>
  <c r="AN11" i="5"/>
  <c r="JD22" i="5"/>
  <c r="JC22" i="5"/>
  <c r="JB22" i="5"/>
  <c r="JA22" i="5"/>
  <c r="IZ22" i="5"/>
  <c r="IY22" i="5"/>
  <c r="IX22" i="5"/>
  <c r="IW22" i="5"/>
  <c r="IV22" i="5"/>
  <c r="IU22" i="5"/>
  <c r="IT22" i="5"/>
  <c r="IS22" i="5"/>
  <c r="IR22" i="5"/>
  <c r="IQ22" i="5"/>
  <c r="IP22" i="5"/>
  <c r="IO22" i="5"/>
  <c r="IN22" i="5"/>
  <c r="IM22" i="5"/>
  <c r="IL22" i="5"/>
  <c r="IK22" i="5"/>
  <c r="IJ22" i="5"/>
  <c r="II22" i="5"/>
  <c r="IH22" i="5"/>
  <c r="IG22" i="5"/>
  <c r="IF22" i="5"/>
  <c r="IE22" i="5"/>
  <c r="ID22" i="5"/>
  <c r="IC22" i="5"/>
  <c r="IB22" i="5"/>
  <c r="IA22" i="5"/>
  <c r="HZ22" i="5"/>
  <c r="HY22" i="5"/>
  <c r="HX22" i="5"/>
  <c r="HW22" i="5"/>
  <c r="HV22" i="5"/>
  <c r="HU22" i="5"/>
  <c r="HT22" i="5"/>
  <c r="HS22" i="5"/>
  <c r="HR22" i="5"/>
  <c r="HQ22" i="5"/>
  <c r="HP22" i="5"/>
  <c r="HO22" i="5"/>
  <c r="HN22" i="5"/>
  <c r="HM22" i="5"/>
  <c r="HL22" i="5"/>
  <c r="HK22" i="5"/>
  <c r="HJ22" i="5"/>
  <c r="HI22" i="5"/>
  <c r="HH22" i="5"/>
  <c r="HG22" i="5"/>
  <c r="HF22" i="5"/>
  <c r="HE22" i="5"/>
  <c r="HD22" i="5"/>
  <c r="HC22" i="5"/>
  <c r="HB22" i="5"/>
  <c r="HA22" i="5"/>
  <c r="GZ22" i="5"/>
  <c r="GY22" i="5"/>
  <c r="GX22" i="5"/>
  <c r="GW22" i="5"/>
  <c r="GV22" i="5"/>
  <c r="GU22" i="5"/>
  <c r="GT22" i="5"/>
  <c r="GS22" i="5"/>
  <c r="GR22" i="5"/>
  <c r="GQ22" i="5"/>
  <c r="GP22" i="5"/>
  <c r="GO22" i="5"/>
  <c r="GN22" i="5"/>
  <c r="GM22" i="5"/>
  <c r="GL22" i="5"/>
  <c r="GK22" i="5"/>
  <c r="JD21" i="5"/>
  <c r="JC21" i="5"/>
  <c r="JB21" i="5"/>
  <c r="JA21" i="5"/>
  <c r="IZ21" i="5"/>
  <c r="IY21" i="5"/>
  <c r="IX21" i="5"/>
  <c r="IW21" i="5"/>
  <c r="IV21" i="5"/>
  <c r="IU21" i="5"/>
  <c r="IT21" i="5"/>
  <c r="IS21" i="5"/>
  <c r="IR21" i="5"/>
  <c r="IQ21" i="5"/>
  <c r="IP21" i="5"/>
  <c r="IO21" i="5"/>
  <c r="IN21" i="5"/>
  <c r="IM21" i="5"/>
  <c r="IL21" i="5"/>
  <c r="IK21" i="5"/>
  <c r="IJ21" i="5"/>
  <c r="II21" i="5"/>
  <c r="IH21" i="5"/>
  <c r="IG21" i="5"/>
  <c r="IF21" i="5"/>
  <c r="IE21" i="5"/>
  <c r="ID21" i="5"/>
  <c r="IC21" i="5"/>
  <c r="IB21" i="5"/>
  <c r="IA21" i="5"/>
  <c r="HW19" i="5"/>
  <c r="HV19" i="5"/>
  <c r="HU19" i="5"/>
  <c r="HT19" i="5"/>
  <c r="HS19" i="5"/>
  <c r="HR19" i="5"/>
  <c r="HQ19" i="5"/>
  <c r="IM2" i="5"/>
  <c r="IK2" i="5"/>
  <c r="II2" i="5"/>
  <c r="IG2" i="5"/>
  <c r="HL19" i="5"/>
  <c r="HK19" i="5"/>
  <c r="HJ19" i="5"/>
  <c r="HI19" i="5"/>
  <c r="HH19" i="5"/>
  <c r="HF19" i="5"/>
  <c r="IE2" i="5"/>
  <c r="IC2" i="5"/>
  <c r="IA2" i="5"/>
  <c r="GZ19" i="5"/>
  <c r="GY19" i="5"/>
  <c r="GX19" i="5"/>
  <c r="GW19" i="5"/>
  <c r="GV19" i="5"/>
  <c r="GU19" i="5"/>
  <c r="GT19" i="5"/>
  <c r="HY2" i="5"/>
  <c r="HW2" i="5"/>
  <c r="GN19" i="5"/>
  <c r="GL19" i="5"/>
  <c r="JD18" i="5"/>
  <c r="JB18" i="5"/>
  <c r="JA18" i="5"/>
  <c r="HU2" i="5"/>
  <c r="IV18" i="5"/>
  <c r="IT18" i="5"/>
  <c r="IS18" i="5"/>
  <c r="IQ18" i="5"/>
  <c r="IO18" i="5"/>
  <c r="HS2" i="5"/>
  <c r="HQ2" i="5"/>
  <c r="II18" i="5"/>
  <c r="IG18" i="5"/>
  <c r="IE18" i="5"/>
  <c r="IC18" i="5"/>
  <c r="HO2" i="5"/>
  <c r="HM2" i="5"/>
  <c r="HW18" i="5"/>
  <c r="HU18" i="5"/>
  <c r="HQ18" i="5"/>
  <c r="HL2" i="5"/>
  <c r="HJ2" i="5"/>
  <c r="HI2" i="5"/>
  <c r="HG2" i="5"/>
  <c r="GM18" i="5"/>
  <c r="GK18" i="5"/>
  <c r="JC17" i="5"/>
  <c r="JA17" i="5"/>
  <c r="IY17" i="5"/>
  <c r="IW17" i="5"/>
  <c r="IU17" i="5"/>
  <c r="IS17" i="5"/>
  <c r="IR17" i="5"/>
  <c r="IP17" i="5"/>
  <c r="IH17" i="5"/>
  <c r="IE17" i="5"/>
  <c r="IC17" i="5"/>
  <c r="IA17" i="5"/>
  <c r="HY17" i="5"/>
  <c r="HW17" i="5"/>
  <c r="HU17" i="5"/>
  <c r="HS17" i="5"/>
  <c r="HQ17" i="5"/>
  <c r="HO17" i="5"/>
  <c r="HM17" i="5"/>
  <c r="HL17" i="5"/>
  <c r="HJ17" i="5"/>
  <c r="HI17" i="5"/>
  <c r="HG17" i="5"/>
  <c r="HD17" i="5"/>
  <c r="HB17" i="5"/>
  <c r="GZ17" i="5"/>
  <c r="GX17" i="5"/>
  <c r="GV17" i="5"/>
  <c r="GT17" i="5"/>
  <c r="GR17" i="5"/>
  <c r="GL17" i="5"/>
  <c r="JD16" i="5"/>
  <c r="JB16" i="5"/>
  <c r="IZ16" i="5"/>
  <c r="IX16" i="5"/>
  <c r="IV16" i="5"/>
  <c r="IT16" i="5"/>
  <c r="IR16" i="5"/>
  <c r="IP16" i="5"/>
  <c r="IN16" i="5"/>
  <c r="IL16" i="5"/>
  <c r="IJ16" i="5"/>
  <c r="IH16" i="5"/>
  <c r="IF16" i="5"/>
  <c r="ID16" i="5"/>
  <c r="IB16" i="5"/>
  <c r="HZ16" i="5"/>
  <c r="HX16" i="5"/>
  <c r="HV16" i="5"/>
  <c r="HT16" i="5"/>
  <c r="HR16" i="5"/>
  <c r="HP16" i="5"/>
  <c r="HN16" i="5"/>
  <c r="HL16" i="5"/>
  <c r="HJ16" i="5"/>
  <c r="HG16" i="5"/>
  <c r="HV11" i="5"/>
  <c r="HT11" i="5"/>
  <c r="HP11" i="5"/>
  <c r="HN11" i="5"/>
  <c r="HL11" i="5"/>
  <c r="HJ11" i="5"/>
  <c r="HH11" i="5"/>
  <c r="HF11" i="5"/>
  <c r="HD11" i="5"/>
  <c r="HB11" i="5"/>
  <c r="GZ11" i="5"/>
  <c r="GT11" i="5"/>
  <c r="GR11" i="5"/>
  <c r="GP11" i="5"/>
  <c r="GN11" i="5"/>
  <c r="GL11" i="5"/>
  <c r="GF11" i="5"/>
  <c r="JD10" i="5"/>
  <c r="JB10" i="5"/>
  <c r="IZ10" i="5"/>
  <c r="IX10" i="5"/>
  <c r="IQ10" i="5"/>
  <c r="IO10" i="5"/>
  <c r="IM10" i="5"/>
  <c r="IK10" i="5"/>
  <c r="IJ10" i="5"/>
  <c r="IH10" i="5"/>
  <c r="ID10" i="5"/>
  <c r="IA10" i="5"/>
  <c r="HY10" i="5"/>
  <c r="HW10" i="5"/>
  <c r="HU10" i="5"/>
  <c r="HO10" i="5"/>
  <c r="HM10" i="5"/>
  <c r="HL10" i="5"/>
  <c r="HK10" i="5"/>
  <c r="HI10" i="5"/>
  <c r="HG10" i="5"/>
  <c r="HF10" i="5"/>
  <c r="HD10" i="5"/>
  <c r="HB10" i="5"/>
  <c r="HA10" i="5"/>
  <c r="GU10" i="5"/>
  <c r="GS10" i="5"/>
  <c r="GQ10" i="5"/>
  <c r="HT3" i="5"/>
  <c r="HR3" i="5"/>
  <c r="HP3" i="5"/>
  <c r="HN3" i="5"/>
  <c r="HL3" i="5"/>
  <c r="HJ3" i="5"/>
  <c r="HH3" i="5"/>
  <c r="HF3" i="5"/>
  <c r="HD3" i="5"/>
  <c r="HB3" i="5"/>
  <c r="GZ3" i="5"/>
  <c r="GX3" i="5"/>
  <c r="GV3" i="5"/>
  <c r="GT3" i="5"/>
  <c r="GR3" i="5"/>
  <c r="GP3" i="5"/>
  <c r="GO3" i="5"/>
  <c r="GM3" i="5"/>
  <c r="GK3" i="5"/>
  <c r="GJ3" i="5"/>
  <c r="GH3" i="5"/>
  <c r="GG3" i="5"/>
  <c r="GF3" i="5"/>
  <c r="JD2" i="5"/>
  <c r="JB2" i="5"/>
  <c r="IZ2" i="5"/>
  <c r="IX2" i="5"/>
  <c r="IV2" i="5"/>
  <c r="IT2" i="5"/>
  <c r="IQ2" i="5"/>
  <c r="IO2" i="5"/>
  <c r="FX22" i="5"/>
  <c r="FW22" i="5"/>
  <c r="FV22" i="5"/>
  <c r="FU22" i="5"/>
  <c r="FT22" i="5"/>
  <c r="FS22" i="5"/>
  <c r="FR22" i="5"/>
  <c r="FQ22" i="5"/>
  <c r="FP22" i="5"/>
  <c r="FO22" i="5"/>
  <c r="FN22" i="5"/>
  <c r="FM22" i="5"/>
  <c r="FL22" i="5"/>
  <c r="FK22" i="5"/>
  <c r="FJ22" i="5"/>
  <c r="FI22" i="5"/>
  <c r="FH22" i="5"/>
  <c r="FG22" i="5"/>
  <c r="FF22" i="5"/>
  <c r="FE22" i="5"/>
  <c r="FD22" i="5"/>
  <c r="FC22" i="5"/>
  <c r="FB22" i="5"/>
  <c r="FA22" i="5"/>
  <c r="EZ22" i="5"/>
  <c r="EY22" i="5"/>
  <c r="EB2" i="5"/>
  <c r="DT19" i="5"/>
  <c r="DS19" i="5"/>
  <c r="DR19" i="5"/>
  <c r="DQ19" i="5"/>
  <c r="DP19" i="5"/>
  <c r="DO19" i="5"/>
  <c r="DN19" i="5"/>
  <c r="DM19" i="5"/>
  <c r="EA2" i="5"/>
  <c r="DZ2" i="5"/>
  <c r="DY2" i="5"/>
  <c r="DX2" i="5"/>
  <c r="DH19" i="5"/>
  <c r="DG19" i="5"/>
  <c r="DF19" i="5"/>
  <c r="DE19" i="5"/>
  <c r="FX18" i="5"/>
  <c r="FW18" i="5"/>
  <c r="FV18" i="5"/>
  <c r="FU18" i="5"/>
  <c r="DW2" i="5"/>
  <c r="DV2" i="5"/>
  <c r="DU2" i="5"/>
  <c r="DT2" i="5"/>
  <c r="FP18" i="5"/>
  <c r="FO18" i="5"/>
  <c r="FN18" i="5"/>
  <c r="FM18" i="5"/>
  <c r="FL18" i="5"/>
  <c r="FK18" i="5"/>
  <c r="FJ18" i="5"/>
  <c r="FI18" i="5"/>
  <c r="DS2" i="5"/>
  <c r="DR2" i="5"/>
  <c r="DQ2" i="5"/>
  <c r="DP2" i="5"/>
  <c r="FD18" i="5"/>
  <c r="FC18" i="5"/>
  <c r="FB18" i="5"/>
  <c r="FA18" i="5"/>
  <c r="EZ18" i="5"/>
  <c r="EY18" i="5"/>
  <c r="EX18" i="5"/>
  <c r="EW18" i="5"/>
  <c r="DO2" i="5"/>
  <c r="DN2" i="5"/>
  <c r="DM2" i="5"/>
  <c r="DL2" i="5"/>
  <c r="ER18" i="5"/>
  <c r="EQ18" i="5"/>
  <c r="EP18" i="5"/>
  <c r="EO18" i="5"/>
  <c r="EN18" i="5"/>
  <c r="EM18" i="5"/>
  <c r="EL18" i="5"/>
  <c r="EK18" i="5"/>
  <c r="DK2" i="5"/>
  <c r="DJ2" i="5"/>
  <c r="DI2" i="5"/>
  <c r="DH2" i="5"/>
  <c r="EF18" i="5"/>
  <c r="EE18" i="5"/>
  <c r="ED18" i="5"/>
  <c r="EC18" i="5"/>
  <c r="EB18" i="5"/>
  <c r="EA18" i="5"/>
  <c r="DZ18" i="5"/>
  <c r="DY18" i="5"/>
  <c r="DG2" i="5"/>
  <c r="DF2" i="5"/>
  <c r="DE2" i="5"/>
  <c r="DD2" i="5"/>
  <c r="DT18" i="5"/>
  <c r="DS18" i="5"/>
  <c r="DR18" i="5"/>
  <c r="DQ18" i="5"/>
  <c r="DP18" i="5"/>
  <c r="DO18" i="5"/>
  <c r="DN18" i="5"/>
  <c r="DM18" i="5"/>
  <c r="DC2" i="5"/>
  <c r="DB2" i="5"/>
  <c r="DA2" i="5"/>
  <c r="CZ2" i="5"/>
  <c r="DH18" i="5"/>
  <c r="DG18" i="5"/>
  <c r="DF18" i="5"/>
  <c r="DE18" i="5"/>
  <c r="FX17" i="5"/>
  <c r="FW17" i="5"/>
  <c r="FV17" i="5"/>
  <c r="FU17" i="5"/>
  <c r="FT17" i="5"/>
  <c r="FS17" i="5"/>
  <c r="FR17" i="5"/>
  <c r="FQ17" i="5"/>
  <c r="FP17" i="5"/>
  <c r="FO17" i="5"/>
  <c r="FN17" i="5"/>
  <c r="FM17" i="5"/>
  <c r="FL17" i="5"/>
  <c r="FK17" i="5"/>
  <c r="FJ17" i="5"/>
  <c r="FI17" i="5"/>
  <c r="FH17" i="5"/>
  <c r="FG17" i="5"/>
  <c r="FF17" i="5"/>
  <c r="FE17" i="5"/>
  <c r="FD17" i="5"/>
  <c r="FC17" i="5"/>
  <c r="FB17" i="5"/>
  <c r="FA17" i="5"/>
  <c r="EZ17" i="5"/>
  <c r="EY17" i="5"/>
  <c r="EX17" i="5"/>
  <c r="EW17" i="5"/>
  <c r="EV17" i="5"/>
  <c r="EU17" i="5"/>
  <c r="ET17" i="5"/>
  <c r="ES17" i="5"/>
  <c r="ER17" i="5"/>
  <c r="EQ17" i="5"/>
  <c r="EP17" i="5"/>
  <c r="EO17" i="5"/>
  <c r="EN17" i="5"/>
  <c r="EM17" i="5"/>
  <c r="EL17" i="5"/>
  <c r="EK17" i="5"/>
  <c r="EJ17" i="5"/>
  <c r="EI17" i="5"/>
  <c r="EH17" i="5"/>
  <c r="EG17" i="5"/>
  <c r="EF17" i="5"/>
  <c r="EE17" i="5"/>
  <c r="ED17" i="5"/>
  <c r="EC17" i="5"/>
  <c r="EB17" i="5"/>
  <c r="EA17" i="5"/>
  <c r="DZ17" i="5"/>
  <c r="DY17" i="5"/>
  <c r="DX17" i="5"/>
  <c r="DW17" i="5"/>
  <c r="DV17" i="5"/>
  <c r="DU17" i="5"/>
  <c r="DT17" i="5"/>
  <c r="DS17" i="5"/>
  <c r="DR17" i="5"/>
  <c r="DQ17" i="5"/>
  <c r="DP17" i="5"/>
  <c r="DO17" i="5"/>
  <c r="DN17" i="5"/>
  <c r="DM17" i="5"/>
  <c r="DL17" i="5"/>
  <c r="DK17" i="5"/>
  <c r="DJ17" i="5"/>
  <c r="DI17" i="5"/>
  <c r="DH17" i="5"/>
  <c r="DG17" i="5"/>
  <c r="DF17" i="5"/>
  <c r="DE17" i="5"/>
  <c r="FX16" i="5"/>
  <c r="FW16" i="5"/>
  <c r="FV16" i="5"/>
  <c r="FU16" i="5"/>
  <c r="FT16" i="5"/>
  <c r="FS16" i="5"/>
  <c r="FR16" i="5"/>
  <c r="FQ16" i="5"/>
  <c r="FP16" i="5"/>
  <c r="FO16" i="5"/>
  <c r="FN16" i="5"/>
  <c r="FM16" i="5"/>
  <c r="FL16" i="5"/>
  <c r="FK16" i="5"/>
  <c r="FJ16" i="5"/>
  <c r="FI16" i="5"/>
  <c r="FH16" i="5"/>
  <c r="FG16" i="5"/>
  <c r="FF16" i="5"/>
  <c r="FE16" i="5"/>
  <c r="FD16" i="5"/>
  <c r="FC16" i="5"/>
  <c r="FB16" i="5"/>
  <c r="FA16" i="5"/>
  <c r="EZ16" i="5"/>
  <c r="EY16" i="5"/>
  <c r="EX16" i="5"/>
  <c r="EW16" i="5"/>
  <c r="EV16" i="5"/>
  <c r="EU16" i="5"/>
  <c r="ET16" i="5"/>
  <c r="ES16" i="5"/>
  <c r="ER16" i="5"/>
  <c r="EQ16" i="5"/>
  <c r="EP16" i="5"/>
  <c r="EO16" i="5"/>
  <c r="EN16" i="5"/>
  <c r="EM16" i="5"/>
  <c r="EL16" i="5"/>
  <c r="EK16" i="5"/>
  <c r="EJ16" i="5"/>
  <c r="EI16" i="5"/>
  <c r="EH16" i="5"/>
  <c r="EG16" i="5"/>
  <c r="EF16" i="5"/>
  <c r="EE16" i="5"/>
  <c r="ED16" i="5"/>
  <c r="EC16" i="5"/>
  <c r="EB16" i="5"/>
  <c r="EA16" i="5"/>
  <c r="DZ16" i="5"/>
  <c r="DY16" i="5"/>
  <c r="DX16" i="5"/>
  <c r="DW16" i="5"/>
  <c r="DV16" i="5"/>
  <c r="DU16" i="5"/>
  <c r="DT16" i="5"/>
  <c r="DS16" i="5"/>
  <c r="DR16" i="5"/>
  <c r="DQ16" i="5"/>
  <c r="DP16" i="5"/>
  <c r="DO16" i="5"/>
  <c r="DN16" i="5"/>
  <c r="DM16" i="5"/>
  <c r="DL16" i="5"/>
  <c r="DK16" i="5"/>
  <c r="DJ16" i="5"/>
  <c r="DI16" i="5"/>
  <c r="DH16" i="5"/>
  <c r="DG16" i="5"/>
  <c r="DF16" i="5"/>
  <c r="DE16" i="5"/>
  <c r="FX15" i="5"/>
  <c r="FW15" i="5"/>
  <c r="FV15" i="5"/>
  <c r="FU15" i="5"/>
  <c r="FT15" i="5"/>
  <c r="FS15" i="5"/>
  <c r="FR15" i="5"/>
  <c r="FQ15" i="5"/>
  <c r="FP15" i="5"/>
  <c r="FO15" i="5"/>
  <c r="FN15" i="5"/>
  <c r="FM15" i="5"/>
  <c r="FL15" i="5"/>
  <c r="FK15" i="5"/>
  <c r="FJ15" i="5"/>
  <c r="FI15" i="5"/>
  <c r="FH15" i="5"/>
  <c r="FG15" i="5"/>
  <c r="FF15" i="5"/>
  <c r="FE15" i="5"/>
  <c r="FD15" i="5"/>
  <c r="FC15" i="5"/>
  <c r="FB15" i="5"/>
  <c r="FA15" i="5"/>
  <c r="EZ15" i="5"/>
  <c r="EY15" i="5"/>
  <c r="EX15" i="5"/>
  <c r="EW15" i="5"/>
  <c r="EV15" i="5"/>
  <c r="EU15" i="5"/>
  <c r="ET15" i="5"/>
  <c r="ES15" i="5"/>
  <c r="ER15" i="5"/>
  <c r="EQ15" i="5"/>
  <c r="EP15" i="5"/>
  <c r="EO15" i="5"/>
  <c r="EN15" i="5"/>
  <c r="EM15" i="5"/>
  <c r="EL15" i="5"/>
  <c r="EK15" i="5"/>
  <c r="EJ15" i="5"/>
  <c r="EI15" i="5"/>
  <c r="EH15" i="5"/>
  <c r="EG15" i="5"/>
  <c r="EF15" i="5"/>
  <c r="EE15" i="5"/>
  <c r="ED15" i="5"/>
  <c r="EC15" i="5"/>
  <c r="EB15" i="5"/>
  <c r="EA15" i="5"/>
  <c r="DZ15" i="5"/>
  <c r="DY15" i="5"/>
  <c r="DX15" i="5"/>
  <c r="DW15" i="5"/>
  <c r="DV15" i="5"/>
  <c r="DU15" i="5"/>
  <c r="DT15" i="5"/>
  <c r="DS15" i="5"/>
  <c r="DR15" i="5"/>
  <c r="DQ15" i="5"/>
  <c r="DP15" i="5"/>
  <c r="DO15" i="5"/>
  <c r="DN15" i="5"/>
  <c r="DM15" i="5"/>
  <c r="DL15" i="5"/>
  <c r="DK15" i="5"/>
  <c r="DJ15" i="5"/>
  <c r="DI15" i="5"/>
  <c r="DH15" i="5"/>
  <c r="DG15" i="5"/>
  <c r="DF15" i="5"/>
  <c r="DE15" i="5"/>
  <c r="FX14" i="5"/>
  <c r="FW14" i="5"/>
  <c r="FV14" i="5"/>
  <c r="FU14" i="5"/>
  <c r="FT14" i="5"/>
  <c r="FS14" i="5"/>
  <c r="FR14" i="5"/>
  <c r="FQ14" i="5"/>
  <c r="FP14" i="5"/>
  <c r="FO14" i="5"/>
  <c r="FN14" i="5"/>
  <c r="FM14" i="5"/>
  <c r="FL14" i="5"/>
  <c r="FK14" i="5"/>
  <c r="FJ14" i="5"/>
  <c r="FI14" i="5"/>
  <c r="FH14" i="5"/>
  <c r="FG14" i="5"/>
  <c r="FF14" i="5"/>
  <c r="FE14" i="5"/>
  <c r="FD14" i="5"/>
  <c r="FC14" i="5"/>
  <c r="FB14" i="5"/>
  <c r="FA14" i="5"/>
  <c r="EZ14" i="5"/>
  <c r="EY14" i="5"/>
  <c r="EX14" i="5"/>
  <c r="EW14" i="5"/>
  <c r="EV14" i="5"/>
  <c r="EU14" i="5"/>
  <c r="ET14" i="5"/>
  <c r="ES14" i="5"/>
  <c r="ER14" i="5"/>
  <c r="EQ14" i="5"/>
  <c r="EP14" i="5"/>
  <c r="EO14" i="5"/>
  <c r="EN14" i="5"/>
  <c r="EM14" i="5"/>
  <c r="EL14" i="5"/>
  <c r="EK14" i="5"/>
  <c r="EJ14" i="5"/>
  <c r="EI14" i="5"/>
  <c r="EH14" i="5"/>
  <c r="EG14" i="5"/>
  <c r="EF14" i="5"/>
  <c r="EE14" i="5"/>
  <c r="ED14" i="5"/>
  <c r="EC14" i="5"/>
  <c r="EB14" i="5"/>
  <c r="EA14" i="5"/>
  <c r="DZ14" i="5"/>
  <c r="DY14" i="5"/>
  <c r="DX14" i="5"/>
  <c r="DW14" i="5"/>
  <c r="DV14" i="5"/>
  <c r="DU14" i="5"/>
  <c r="DT14" i="5"/>
  <c r="DS14" i="5"/>
  <c r="DR14" i="5"/>
  <c r="DQ14" i="5"/>
  <c r="DP14" i="5"/>
  <c r="DO14" i="5"/>
  <c r="DN14" i="5"/>
  <c r="DM14" i="5"/>
  <c r="DL14" i="5"/>
  <c r="DK14" i="5"/>
  <c r="DJ14" i="5"/>
  <c r="DI14" i="5"/>
  <c r="DH14" i="5"/>
  <c r="DG14" i="5"/>
  <c r="DF14" i="5"/>
  <c r="DE14" i="5"/>
  <c r="DD14" i="5"/>
  <c r="DC14" i="5"/>
  <c r="DB14" i="5"/>
  <c r="DA14" i="5"/>
  <c r="CZ14" i="5"/>
  <c r="FX13" i="5"/>
  <c r="FW13" i="5"/>
  <c r="FV13" i="5"/>
  <c r="FU13" i="5"/>
  <c r="FT13" i="5"/>
  <c r="FS13" i="5"/>
  <c r="FR13" i="5"/>
  <c r="FQ13" i="5"/>
  <c r="FP13" i="5"/>
  <c r="FO13" i="5"/>
  <c r="FN13" i="5"/>
  <c r="FM13" i="5"/>
  <c r="FL13" i="5"/>
  <c r="FK13" i="5"/>
  <c r="FJ13" i="5"/>
  <c r="FI13" i="5"/>
  <c r="FH13" i="5"/>
  <c r="FG13" i="5"/>
  <c r="FF13" i="5"/>
  <c r="FE13" i="5"/>
  <c r="FC13" i="5"/>
  <c r="FB13" i="5"/>
  <c r="EZ13" i="5"/>
  <c r="EX13" i="5"/>
  <c r="EV13" i="5"/>
  <c r="ET13" i="5"/>
  <c r="ER13" i="5"/>
  <c r="EO13" i="5"/>
  <c r="EM13" i="5"/>
  <c r="EK13" i="5"/>
  <c r="EI13" i="5"/>
  <c r="EH13" i="5"/>
  <c r="EF13" i="5"/>
  <c r="EC13" i="5"/>
  <c r="EA13" i="5"/>
  <c r="DY13" i="5"/>
  <c r="DW13" i="5"/>
  <c r="DV13" i="5"/>
  <c r="DT13" i="5"/>
  <c r="DR13" i="5"/>
  <c r="DP13" i="5"/>
  <c r="DN13" i="5"/>
  <c r="DL13" i="5"/>
  <c r="DJ13" i="5"/>
  <c r="DH13" i="5"/>
  <c r="DE13" i="5"/>
  <c r="DD13" i="5"/>
  <c r="DB13" i="5"/>
  <c r="CZ13" i="5"/>
  <c r="FW12" i="5"/>
  <c r="FU12" i="5"/>
  <c r="FQ12" i="5"/>
  <c r="FO12" i="5"/>
  <c r="FL12" i="5"/>
  <c r="FJ12" i="5"/>
  <c r="FH12" i="5"/>
  <c r="FF12" i="5"/>
  <c r="FD12" i="5"/>
  <c r="FC12" i="5"/>
  <c r="FA12" i="5"/>
  <c r="EY12" i="5"/>
  <c r="EW12" i="5"/>
  <c r="EU12" i="5"/>
  <c r="ES12" i="5"/>
  <c r="ER12" i="5"/>
  <c r="EO12" i="5"/>
  <c r="EL12" i="5"/>
  <c r="EI12" i="5"/>
  <c r="EF12" i="5"/>
  <c r="ED12" i="5"/>
  <c r="EB12" i="5"/>
  <c r="EA12" i="5"/>
  <c r="DY12" i="5"/>
  <c r="DW12" i="5"/>
  <c r="DU12" i="5"/>
  <c r="DR12" i="5"/>
  <c r="DP12" i="5"/>
  <c r="DN12" i="5"/>
  <c r="DM12" i="5"/>
  <c r="DI12" i="5"/>
  <c r="DG12" i="5"/>
  <c r="DF12" i="5"/>
  <c r="DE12" i="5"/>
  <c r="CZ12" i="5"/>
  <c r="FW11" i="5"/>
  <c r="FV11" i="5"/>
  <c r="FS11" i="5"/>
  <c r="FR11" i="5"/>
  <c r="FP11" i="5"/>
  <c r="FK11" i="5"/>
  <c r="FI11" i="5"/>
  <c r="FG11" i="5"/>
  <c r="FE11" i="5"/>
  <c r="FC11" i="5"/>
  <c r="EW11" i="5"/>
  <c r="EU11" i="5"/>
  <c r="ET11" i="5"/>
  <c r="ER11" i="5"/>
  <c r="EO11" i="5"/>
  <c r="EJ11" i="5"/>
  <c r="EH11" i="5"/>
  <c r="EF11" i="5"/>
  <c r="EE11" i="5"/>
  <c r="ED11" i="5"/>
  <c r="EB11" i="5"/>
  <c r="EA11" i="5"/>
  <c r="DY11" i="5"/>
  <c r="DX11" i="5"/>
  <c r="DV11" i="5"/>
  <c r="DS11" i="5"/>
  <c r="DN11" i="5"/>
  <c r="DK11" i="5"/>
  <c r="DH11" i="5"/>
  <c r="DF11" i="5"/>
  <c r="DE11" i="5"/>
  <c r="CZ11" i="5"/>
  <c r="FW10" i="5"/>
  <c r="FU10" i="5"/>
  <c r="FQ10" i="5"/>
  <c r="FK10" i="5"/>
  <c r="FI10" i="5"/>
  <c r="FF10" i="5"/>
  <c r="FE10" i="5"/>
  <c r="FC10" i="5"/>
  <c r="EX10" i="5"/>
  <c r="EV10" i="5"/>
  <c r="ET10" i="5"/>
  <c r="ES10" i="5"/>
  <c r="ER10" i="5"/>
  <c r="EP10" i="5"/>
  <c r="EN10" i="5"/>
  <c r="EI10" i="5"/>
  <c r="EG10" i="5"/>
  <c r="EF10" i="5"/>
  <c r="ED10" i="5"/>
  <c r="EB10" i="5"/>
  <c r="DZ10" i="5"/>
  <c r="DX10" i="5"/>
  <c r="DV10" i="5"/>
  <c r="DT10" i="5"/>
  <c r="DO10" i="5"/>
  <c r="DM10" i="5"/>
  <c r="DJ10" i="5"/>
  <c r="DH10" i="5"/>
  <c r="DF10" i="5"/>
  <c r="DA10" i="5"/>
  <c r="FW9" i="5"/>
  <c r="FU9" i="5"/>
  <c r="FS9" i="5"/>
  <c r="FP9" i="5"/>
  <c r="FN9" i="5"/>
  <c r="FK9" i="5"/>
  <c r="FH9" i="5"/>
  <c r="FD9" i="5"/>
  <c r="FB9" i="5"/>
  <c r="EY9" i="5"/>
  <c r="EW9" i="5"/>
  <c r="EU9" i="5"/>
  <c r="ES9" i="5"/>
  <c r="EP9" i="5"/>
  <c r="EM9" i="5"/>
  <c r="EK9" i="5"/>
  <c r="EJ9" i="5"/>
  <c r="EH9" i="5"/>
  <c r="EE9" i="5"/>
  <c r="EB9" i="5"/>
  <c r="DZ9" i="5"/>
  <c r="DX9" i="5"/>
  <c r="DV9" i="5"/>
  <c r="DU9" i="5"/>
  <c r="DS9" i="5"/>
  <c r="DQ9" i="5"/>
  <c r="DP9" i="5"/>
  <c r="DM9" i="5"/>
  <c r="DL9" i="5"/>
  <c r="DJ9" i="5"/>
  <c r="DI9" i="5"/>
  <c r="DG9" i="5"/>
  <c r="DE9" i="5"/>
  <c r="DC9" i="5"/>
  <c r="DA9" i="5"/>
  <c r="FX8" i="5"/>
  <c r="FU8" i="5"/>
  <c r="FS8" i="5"/>
  <c r="FR8" i="5"/>
  <c r="FP8" i="5"/>
  <c r="FN8" i="5"/>
  <c r="FL8" i="5"/>
  <c r="FJ8" i="5"/>
  <c r="FH8" i="5"/>
  <c r="FF8" i="5"/>
  <c r="FE8" i="5"/>
  <c r="FC8" i="5"/>
  <c r="FB8" i="5"/>
  <c r="EZ8" i="5"/>
  <c r="EX8" i="5"/>
  <c r="EV8" i="5"/>
  <c r="ET8" i="5"/>
  <c r="ER8" i="5"/>
  <c r="FR7" i="5"/>
  <c r="FQ7" i="5"/>
  <c r="FP7" i="5"/>
  <c r="FO7" i="5"/>
  <c r="FN7" i="5"/>
  <c r="FM7" i="5"/>
  <c r="FL7" i="5"/>
  <c r="FK7" i="5"/>
  <c r="FJ7" i="5"/>
  <c r="FI7" i="5"/>
  <c r="FH7" i="5"/>
  <c r="FG7" i="5"/>
  <c r="FF7" i="5"/>
  <c r="FE7" i="5"/>
  <c r="FD7" i="5"/>
  <c r="FC7" i="5"/>
  <c r="FB7" i="5"/>
  <c r="FA7" i="5"/>
  <c r="EZ7" i="5"/>
  <c r="EY7" i="5"/>
  <c r="EX7" i="5"/>
  <c r="EW7" i="5"/>
  <c r="EV7" i="5"/>
  <c r="EU7" i="5"/>
  <c r="ET7" i="5"/>
  <c r="ES7" i="5"/>
  <c r="ER7" i="5"/>
  <c r="EQ7" i="5"/>
  <c r="EP7" i="5"/>
  <c r="EO7" i="5"/>
  <c r="EN7" i="5"/>
  <c r="EM7" i="5"/>
  <c r="EL7" i="5"/>
  <c r="EK7" i="5"/>
  <c r="EJ7" i="5"/>
  <c r="EI7" i="5"/>
  <c r="EH7" i="5"/>
  <c r="EG7" i="5"/>
  <c r="EF7" i="5"/>
  <c r="EE7" i="5"/>
  <c r="ED7" i="5"/>
  <c r="EC7" i="5"/>
  <c r="EB7" i="5"/>
  <c r="EA7" i="5"/>
  <c r="DZ7" i="5"/>
  <c r="DY7" i="5"/>
  <c r="DX7" i="5"/>
  <c r="DW7" i="5"/>
  <c r="DV7" i="5"/>
  <c r="DU7" i="5"/>
  <c r="DT7" i="5"/>
  <c r="DS7" i="5"/>
  <c r="DR7" i="5"/>
  <c r="DQ7" i="5"/>
  <c r="DP7" i="5"/>
  <c r="DO7" i="5"/>
  <c r="DN7" i="5"/>
  <c r="DM7" i="5"/>
  <c r="DL7" i="5"/>
  <c r="DK7" i="5"/>
  <c r="DJ7" i="5"/>
  <c r="DI7" i="5"/>
  <c r="DH7" i="5"/>
  <c r="DG7" i="5"/>
  <c r="DE7" i="5"/>
  <c r="DC7" i="5"/>
  <c r="DB7" i="5"/>
  <c r="CZ7" i="5"/>
  <c r="FX6" i="5"/>
  <c r="FV6" i="5"/>
  <c r="FT6" i="5"/>
  <c r="FR6" i="5"/>
  <c r="FP6" i="5"/>
  <c r="FO6" i="5"/>
  <c r="FL6" i="5"/>
  <c r="FJ6" i="5"/>
  <c r="FH6" i="5"/>
  <c r="FG6" i="5"/>
  <c r="FE6" i="5"/>
  <c r="FC6" i="5"/>
  <c r="FB6" i="5"/>
  <c r="EZ6" i="5"/>
  <c r="EX6" i="5"/>
  <c r="EV6" i="5"/>
  <c r="EU6" i="5"/>
  <c r="ET6" i="5"/>
  <c r="ES6" i="5"/>
  <c r="EQ6" i="5"/>
  <c r="EO6" i="5"/>
  <c r="EM6" i="5"/>
  <c r="EK6" i="5"/>
  <c r="EI6" i="5"/>
  <c r="EF6" i="5"/>
  <c r="ED6" i="5"/>
  <c r="EC6" i="5"/>
  <c r="EA6" i="5"/>
  <c r="DX6" i="5"/>
  <c r="DV6" i="5"/>
  <c r="DU6" i="5"/>
  <c r="DQ6" i="5"/>
  <c r="DN6" i="5"/>
  <c r="DL6" i="5"/>
  <c r="DJ6" i="5"/>
  <c r="DH6" i="5"/>
  <c r="DF6" i="5"/>
  <c r="DD6" i="5"/>
  <c r="DB6" i="5"/>
  <c r="DA6" i="5"/>
  <c r="FX5" i="5"/>
  <c r="FT5" i="5"/>
  <c r="FP5" i="5"/>
  <c r="FN5" i="5"/>
  <c r="FL5" i="5"/>
  <c r="FJ5" i="5"/>
  <c r="FG5" i="5"/>
  <c r="FE5" i="5"/>
  <c r="FC5" i="5"/>
  <c r="FB5" i="5"/>
  <c r="EZ5" i="5"/>
  <c r="EX5" i="5"/>
  <c r="EU5" i="5"/>
  <c r="ES5" i="5"/>
  <c r="ER5" i="5"/>
  <c r="EP5" i="5"/>
  <c r="EN5" i="5"/>
  <c r="EM5" i="5"/>
  <c r="BB5" i="5"/>
  <c r="AY5" i="5"/>
  <c r="AY4" i="5"/>
  <c r="AY3" i="5"/>
  <c r="BB2" i="5"/>
  <c r="BK14" i="5"/>
  <c r="BM13" i="5"/>
  <c r="BJ13" i="5"/>
  <c r="BN12" i="5"/>
  <c r="BM11" i="5"/>
  <c r="BL10" i="5"/>
  <c r="BJ10" i="5"/>
  <c r="BN9" i="5"/>
  <c r="BJ9" i="5"/>
  <c r="W14" i="5"/>
  <c r="W13" i="5"/>
  <c r="Z11" i="5"/>
  <c r="Z10" i="5"/>
  <c r="X8" i="5"/>
  <c r="T6" i="5"/>
  <c r="W4" i="5"/>
  <c r="U3" i="5"/>
  <c r="X2" i="5"/>
  <c r="V14" i="5"/>
  <c r="V13" i="5"/>
  <c r="U13" i="5"/>
  <c r="X12" i="5"/>
  <c r="T11" i="5"/>
  <c r="Z9" i="5"/>
  <c r="U8" i="5"/>
  <c r="V7" i="5"/>
  <c r="T7" i="5"/>
  <c r="Y6" i="5"/>
  <c r="U6" i="5"/>
  <c r="U5" i="5"/>
  <c r="V4" i="5"/>
  <c r="T3" i="5"/>
  <c r="AE13" i="5"/>
  <c r="AD13" i="5"/>
  <c r="AB12" i="5"/>
  <c r="AB11" i="5"/>
  <c r="AF10" i="5"/>
  <c r="AG9" i="5"/>
  <c r="AC9" i="5"/>
  <c r="AA9" i="5"/>
  <c r="AG7" i="5"/>
  <c r="AD7" i="5"/>
  <c r="AE6" i="5"/>
  <c r="AA5" i="5"/>
  <c r="AF3" i="5"/>
  <c r="AD2" i="5"/>
  <c r="AD22" i="5"/>
  <c r="AC21" i="5"/>
  <c r="AC20" i="5"/>
  <c r="Z20" i="5"/>
  <c r="AG19" i="5"/>
  <c r="AG18" i="5"/>
  <c r="AJ17" i="5"/>
  <c r="BM8" i="5"/>
  <c r="CO10" i="5"/>
  <c r="CR9" i="5"/>
  <c r="CP9" i="5"/>
  <c r="CN9" i="5"/>
  <c r="CR8" i="5"/>
  <c r="CL8" i="5"/>
  <c r="CQ7" i="5"/>
  <c r="CP7" i="5"/>
  <c r="CM7" i="5"/>
  <c r="CR6" i="5"/>
  <c r="CO6" i="5"/>
  <c r="CR4" i="5"/>
  <c r="CP4" i="5"/>
  <c r="CM4" i="5"/>
  <c r="CR3" i="5"/>
  <c r="CQ3" i="5"/>
  <c r="CM3" i="5"/>
  <c r="CR2" i="5"/>
  <c r="CL2" i="5"/>
  <c r="CQ22" i="5"/>
  <c r="CO22" i="5"/>
  <c r="CN22" i="5"/>
  <c r="CI22" i="5"/>
  <c r="CP21" i="5"/>
  <c r="CK21" i="5"/>
  <c r="CI21" i="5"/>
  <c r="CH21" i="5"/>
  <c r="CO20" i="5"/>
  <c r="CL20" i="5"/>
  <c r="CJ20" i="5"/>
  <c r="CR19" i="5"/>
  <c r="CH19" i="5"/>
  <c r="CP18" i="5"/>
  <c r="CI18" i="5"/>
  <c r="CG18" i="5"/>
  <c r="CO17" i="5"/>
  <c r="CL17" i="5"/>
  <c r="CR16" i="5"/>
  <c r="CP16" i="5"/>
  <c r="CO16" i="5"/>
  <c r="CM16" i="5"/>
  <c r="CJ16" i="5"/>
  <c r="CI16" i="5"/>
  <c r="CQ15" i="5"/>
  <c r="CN15" i="5"/>
  <c r="CK15" i="5"/>
  <c r="CH15" i="5"/>
  <c r="AB19" i="5"/>
  <c r="CJ18" i="5"/>
  <c r="T10" i="5"/>
  <c r="X9" i="5"/>
  <c r="V8" i="5"/>
  <c r="V6" i="5"/>
  <c r="U2" i="5"/>
  <c r="W2" i="5"/>
  <c r="AG14" i="5"/>
  <c r="AE14" i="5"/>
  <c r="AB14" i="5"/>
  <c r="AA13" i="5"/>
  <c r="AC12" i="5"/>
  <c r="AG10" i="5"/>
  <c r="AC10" i="5"/>
  <c r="AA10" i="5"/>
  <c r="AB9" i="5"/>
  <c r="AC8" i="5"/>
  <c r="AB7" i="5"/>
  <c r="AB6" i="5"/>
  <c r="AF5" i="5"/>
  <c r="AF4" i="5"/>
  <c r="AG3" i="5"/>
  <c r="AC3" i="5"/>
  <c r="AG2" i="5"/>
  <c r="AC2" i="5"/>
  <c r="AA2" i="5"/>
  <c r="AH22" i="5"/>
  <c r="AF22" i="5"/>
  <c r="AC22" i="5"/>
  <c r="Z22" i="5"/>
  <c r="AH21" i="5"/>
  <c r="AF21" i="5"/>
  <c r="AA21" i="5"/>
  <c r="Z21" i="5"/>
  <c r="AJ20" i="5"/>
  <c r="AF20" i="5"/>
  <c r="AJ19" i="5"/>
  <c r="AA19" i="5"/>
  <c r="AH18" i="5"/>
  <c r="Y18" i="5"/>
  <c r="AH17" i="5"/>
  <c r="AD17" i="5"/>
  <c r="AI16" i="5"/>
  <c r="AF16" i="5"/>
  <c r="AD16" i="5"/>
  <c r="AB16" i="5"/>
  <c r="Y16" i="5"/>
  <c r="AI15" i="5"/>
  <c r="AF15" i="5"/>
  <c r="AD15" i="5"/>
  <c r="AC15" i="5"/>
  <c r="AK14" i="5"/>
  <c r="AI14" i="5"/>
  <c r="AM13" i="5"/>
  <c r="AM12" i="5"/>
  <c r="AJ12" i="5"/>
  <c r="AH12" i="5"/>
  <c r="AM11" i="5"/>
  <c r="EK5" i="5"/>
  <c r="EJ5" i="5"/>
  <c r="EI5" i="5"/>
  <c r="EH5" i="5"/>
  <c r="EG5" i="5"/>
  <c r="EF5" i="5"/>
  <c r="EE5" i="5"/>
  <c r="ED5" i="5"/>
  <c r="EC5" i="5"/>
  <c r="EB5" i="5"/>
  <c r="EA5" i="5"/>
  <c r="DZ5" i="5"/>
  <c r="DY5" i="5"/>
  <c r="DX5" i="5"/>
  <c r="DW5" i="5"/>
  <c r="DV5" i="5"/>
  <c r="DU5" i="5"/>
  <c r="DT5" i="5"/>
  <c r="DS5" i="5"/>
  <c r="DR5" i="5"/>
  <c r="DQ5" i="5"/>
  <c r="DP5" i="5"/>
  <c r="DO5" i="5"/>
  <c r="DN5" i="5"/>
  <c r="DM5" i="5"/>
  <c r="DL5" i="5"/>
  <c r="DK5" i="5"/>
  <c r="DJ5" i="5"/>
  <c r="DI5" i="5"/>
  <c r="DH5" i="5"/>
  <c r="DG5" i="5"/>
  <c r="DF5" i="5"/>
  <c r="DE5" i="5"/>
  <c r="DD5" i="5"/>
  <c r="DC5" i="5"/>
  <c r="DB5" i="5"/>
  <c r="DA5" i="5"/>
  <c r="CZ5" i="5"/>
  <c r="FX4" i="5"/>
  <c r="FW4" i="5"/>
  <c r="FV4" i="5"/>
  <c r="FU4" i="5"/>
  <c r="FT4" i="5"/>
  <c r="FS4" i="5"/>
  <c r="FR4" i="5"/>
  <c r="FQ4" i="5"/>
  <c r="FP4" i="5"/>
  <c r="FO4" i="5"/>
  <c r="FN4" i="5"/>
  <c r="FM4" i="5"/>
  <c r="FL4" i="5"/>
  <c r="FK4" i="5"/>
  <c r="FJ4" i="5"/>
  <c r="FI4" i="5"/>
  <c r="FH4" i="5"/>
  <c r="FG4" i="5"/>
  <c r="FF4" i="5"/>
  <c r="FE4" i="5"/>
  <c r="FD4" i="5"/>
  <c r="FC4" i="5"/>
  <c r="FB4" i="5"/>
  <c r="FA4" i="5"/>
  <c r="EZ4" i="5"/>
  <c r="EY4" i="5"/>
  <c r="EX4" i="5"/>
  <c r="EW4" i="5"/>
  <c r="EV4" i="5"/>
  <c r="EU4" i="5"/>
  <c r="ET4" i="5"/>
  <c r="ES4" i="5"/>
  <c r="ER4" i="5"/>
  <c r="EQ4" i="5"/>
  <c r="EP4" i="5"/>
  <c r="EO4" i="5"/>
  <c r="EN4" i="5"/>
  <c r="EM4" i="5"/>
  <c r="EL4" i="5"/>
  <c r="EK4" i="5"/>
  <c r="EJ4" i="5"/>
  <c r="EI4" i="5"/>
  <c r="EH4" i="5"/>
  <c r="EG4" i="5"/>
  <c r="EF4" i="5"/>
  <c r="EE4" i="5"/>
  <c r="ED4" i="5"/>
  <c r="EC4" i="5"/>
  <c r="EB4" i="5"/>
  <c r="EA4" i="5"/>
  <c r="DZ4" i="5"/>
  <c r="DY4" i="5"/>
  <c r="DX4" i="5"/>
  <c r="DW4" i="5"/>
  <c r="DV4" i="5"/>
  <c r="DU4" i="5"/>
  <c r="DT4" i="5"/>
  <c r="DS4" i="5"/>
  <c r="DR4" i="5"/>
  <c r="DQ4" i="5"/>
  <c r="DP4" i="5"/>
  <c r="DO4" i="5"/>
  <c r="DN4" i="5"/>
  <c r="DM4" i="5"/>
  <c r="DL4" i="5"/>
  <c r="DK4" i="5"/>
  <c r="DJ4" i="5"/>
  <c r="DI4" i="5"/>
  <c r="DH4" i="5"/>
  <c r="DG4" i="5"/>
  <c r="DF4" i="5"/>
  <c r="DE4" i="5"/>
  <c r="DD4" i="5"/>
  <c r="DC4" i="5"/>
  <c r="DB4" i="5"/>
  <c r="DA4" i="5"/>
  <c r="CZ4" i="5"/>
  <c r="FX3" i="5"/>
  <c r="FW3" i="5"/>
  <c r="FV3" i="5"/>
  <c r="FU3" i="5"/>
  <c r="FT3" i="5"/>
  <c r="FS3" i="5"/>
  <c r="FR3" i="5"/>
  <c r="FQ3" i="5"/>
  <c r="FP3" i="5"/>
  <c r="FO3" i="5"/>
  <c r="FN3" i="5"/>
  <c r="FM3" i="5"/>
  <c r="FL3" i="5"/>
  <c r="FK3" i="5"/>
  <c r="FJ3" i="5"/>
  <c r="FI3" i="5"/>
  <c r="FH3" i="5"/>
  <c r="FG3" i="5"/>
  <c r="FF3" i="5"/>
  <c r="FE3" i="5"/>
  <c r="FD3" i="5"/>
  <c r="FC3" i="5"/>
  <c r="FB3" i="5"/>
  <c r="FA3" i="5"/>
  <c r="EZ3" i="5"/>
  <c r="EY3" i="5"/>
  <c r="EX3" i="5"/>
  <c r="EW3" i="5"/>
  <c r="EV3" i="5"/>
  <c r="EU3" i="5"/>
  <c r="ET3" i="5"/>
  <c r="ES3" i="5"/>
  <c r="ER3" i="5"/>
  <c r="EQ3" i="5"/>
  <c r="EP3" i="5"/>
  <c r="EO3" i="5"/>
  <c r="EN3" i="5"/>
  <c r="EM3" i="5"/>
  <c r="EL3" i="5"/>
  <c r="EK3" i="5"/>
  <c r="EJ3" i="5"/>
  <c r="EI3" i="5"/>
  <c r="EH3" i="5"/>
  <c r="EG3" i="5"/>
  <c r="EF3" i="5"/>
  <c r="EE3" i="5"/>
  <c r="ED3" i="5"/>
  <c r="EC3" i="5"/>
  <c r="EB3" i="5"/>
  <c r="EA3" i="5"/>
  <c r="DZ3" i="5"/>
  <c r="DY3" i="5"/>
  <c r="DX3" i="5"/>
  <c r="DW3" i="5"/>
  <c r="DV3" i="5"/>
  <c r="DU3" i="5"/>
  <c r="DT3" i="5"/>
  <c r="DS3" i="5"/>
  <c r="DR3" i="5"/>
  <c r="DQ3" i="5"/>
  <c r="DP3" i="5"/>
  <c r="DO3" i="5"/>
  <c r="DN3" i="5"/>
  <c r="DM3" i="5"/>
  <c r="DL3" i="5"/>
  <c r="DK3" i="5"/>
  <c r="DJ3" i="5"/>
  <c r="DI3" i="5"/>
  <c r="DH3" i="5"/>
  <c r="DG3" i="5"/>
  <c r="DF3" i="5"/>
  <c r="DE3" i="5"/>
  <c r="DD3" i="5"/>
  <c r="DC3" i="5"/>
  <c r="DB3" i="5"/>
  <c r="DA3" i="5"/>
  <c r="CZ3" i="5"/>
  <c r="FX2" i="5"/>
  <c r="FW2" i="5"/>
  <c r="FV2" i="5"/>
  <c r="FU2" i="5"/>
  <c r="FT2" i="5"/>
  <c r="FS2" i="5"/>
  <c r="FR2" i="5"/>
  <c r="FQ2" i="5"/>
  <c r="FP2" i="5"/>
  <c r="FO2" i="5"/>
  <c r="FN2" i="5"/>
  <c r="FM2" i="5"/>
  <c r="FL2" i="5"/>
  <c r="FK2" i="5"/>
  <c r="FJ2" i="5"/>
  <c r="FI2" i="5"/>
  <c r="FH2" i="5"/>
  <c r="FG2" i="5"/>
  <c r="FF2" i="5"/>
  <c r="FE2" i="5"/>
  <c r="FD2" i="5"/>
  <c r="FC2" i="5"/>
  <c r="FB2" i="5"/>
  <c r="FA2" i="5"/>
  <c r="EZ2" i="5"/>
  <c r="EY2" i="5"/>
  <c r="EX2" i="5"/>
  <c r="EW2" i="5"/>
  <c r="EV2" i="5"/>
  <c r="CI4" i="5"/>
  <c r="CH4" i="5"/>
  <c r="CG4" i="5"/>
  <c r="CF4" i="5"/>
  <c r="CE4" i="5"/>
  <c r="CK3" i="5"/>
  <c r="CJ3" i="5"/>
  <c r="CI3" i="5"/>
  <c r="CH3" i="5"/>
  <c r="CG3" i="5"/>
  <c r="CF3" i="5"/>
  <c r="CE3" i="5"/>
  <c r="CK2" i="5"/>
  <c r="CJ2" i="5"/>
  <c r="CI2" i="5"/>
  <c r="CH2" i="5"/>
  <c r="CG2" i="5"/>
  <c r="CF2" i="5"/>
  <c r="CE2" i="5"/>
  <c r="CR14" i="5"/>
  <c r="CQ14" i="5"/>
  <c r="CP14" i="5"/>
  <c r="CO14" i="5"/>
  <c r="CN14" i="5"/>
  <c r="CM14" i="5"/>
  <c r="CL14" i="5"/>
  <c r="CR13" i="5"/>
  <c r="CQ13" i="5"/>
  <c r="CP13" i="5"/>
  <c r="CO13" i="5"/>
  <c r="CN13" i="5"/>
  <c r="CM13" i="5"/>
  <c r="CL13" i="5"/>
  <c r="CR12" i="5"/>
  <c r="CQ12" i="5"/>
  <c r="CP12" i="5"/>
  <c r="CO12" i="5"/>
  <c r="CN12" i="5"/>
  <c r="CM12" i="5"/>
  <c r="CL12" i="5"/>
  <c r="CR11" i="5"/>
  <c r="CQ11" i="5"/>
  <c r="CP11" i="5"/>
  <c r="CO11" i="5"/>
  <c r="CN11" i="5"/>
  <c r="CM11" i="5"/>
  <c r="CL11" i="5"/>
  <c r="CR10" i="5"/>
  <c r="CQ10" i="5"/>
  <c r="CP10" i="5"/>
  <c r="AN10" i="5"/>
  <c r="AM10" i="5"/>
  <c r="AI10" i="5"/>
  <c r="AH10" i="5"/>
  <c r="AN9" i="5"/>
  <c r="AM9" i="5"/>
  <c r="AL9" i="5"/>
  <c r="AK9" i="5"/>
  <c r="AJ9" i="5"/>
  <c r="AI9" i="5"/>
  <c r="AH9" i="5"/>
  <c r="AN8" i="5"/>
  <c r="AM8" i="5"/>
  <c r="AL8" i="5"/>
  <c r="AK8" i="5"/>
  <c r="AJ8" i="5"/>
  <c r="AI8" i="5"/>
  <c r="AH8" i="5"/>
  <c r="AN7" i="5"/>
  <c r="AM7" i="5"/>
  <c r="AL7" i="5"/>
  <c r="AK7" i="5"/>
  <c r="AJ7" i="5"/>
  <c r="AI7" i="5"/>
  <c r="AH7" i="5"/>
  <c r="AN6" i="5"/>
  <c r="AM6" i="5"/>
  <c r="AL6" i="5"/>
  <c r="AK6" i="5"/>
  <c r="AJ6" i="5"/>
  <c r="AI6" i="5"/>
  <c r="AH6" i="5"/>
  <c r="AN5" i="5"/>
  <c r="AM5" i="5"/>
  <c r="AL5" i="5"/>
  <c r="AK5" i="5"/>
  <c r="AJ5" i="5"/>
  <c r="AI5" i="5"/>
  <c r="AH5" i="5"/>
  <c r="AN4" i="5"/>
  <c r="BD9" i="5"/>
  <c r="BI8" i="5"/>
  <c r="BF8" i="5"/>
  <c r="BD8" i="5"/>
  <c r="BI7" i="5"/>
  <c r="BH7" i="5"/>
  <c r="BF7" i="5"/>
  <c r="BD7" i="5"/>
  <c r="BI6" i="5"/>
  <c r="BH6" i="5"/>
  <c r="BE6" i="5"/>
  <c r="BD6" i="5"/>
  <c r="BH5" i="5"/>
  <c r="BG5" i="5"/>
  <c r="BE5" i="5"/>
  <c r="BI4" i="5"/>
  <c r="BG4" i="5"/>
  <c r="BE4" i="5"/>
  <c r="BC4" i="5"/>
  <c r="BH3" i="5"/>
  <c r="BE3" i="5"/>
  <c r="BI2" i="5"/>
  <c r="BG2" i="5"/>
  <c r="BE2" i="5"/>
  <c r="BC2" i="5"/>
  <c r="BO14" i="5"/>
  <c r="BM14" i="5"/>
  <c r="BK8" i="5"/>
  <c r="BP7" i="5"/>
  <c r="BO7" i="5"/>
  <c r="BM7" i="5"/>
  <c r="BL7" i="5"/>
  <c r="BJ7" i="5"/>
  <c r="BO6" i="5"/>
  <c r="BN6" i="5"/>
  <c r="BL6" i="5"/>
  <c r="BK6" i="5"/>
  <c r="BP5" i="5"/>
  <c r="BN5" i="5"/>
  <c r="BM5" i="5"/>
  <c r="BL5" i="5"/>
  <c r="BK5" i="5"/>
  <c r="BJ5" i="5"/>
  <c r="BP4" i="5"/>
  <c r="BO4" i="5"/>
  <c r="BN4" i="5"/>
  <c r="BM4" i="5"/>
  <c r="BL4" i="5"/>
  <c r="BK4" i="5"/>
  <c r="BJ4" i="5"/>
  <c r="BP3" i="5"/>
  <c r="BO3" i="5"/>
  <c r="BN3" i="5"/>
  <c r="BM3" i="5"/>
  <c r="BL3" i="5"/>
  <c r="BK3" i="5"/>
  <c r="BJ3" i="5"/>
  <c r="BP2" i="5"/>
  <c r="BO2" i="5"/>
  <c r="BN2" i="5"/>
  <c r="BM2" i="5"/>
  <c r="BL2" i="5"/>
  <c r="BK2" i="5"/>
  <c r="BJ2" i="5"/>
  <c r="BT22" i="5"/>
  <c r="BQ22" i="5"/>
  <c r="BN22" i="5"/>
  <c r="BL22" i="5"/>
  <c r="BJ22" i="5"/>
  <c r="BT21" i="5"/>
  <c r="BS21" i="5"/>
  <c r="BQ21" i="5"/>
  <c r="BO21" i="5"/>
  <c r="BM21" i="5"/>
  <c r="BK21" i="5"/>
  <c r="BI21" i="5"/>
  <c r="BR20" i="5"/>
  <c r="BP20" i="5"/>
  <c r="BN20" i="5"/>
  <c r="BK20" i="5"/>
  <c r="BI20" i="5"/>
  <c r="BR19" i="5"/>
  <c r="BK19" i="5"/>
  <c r="BI19" i="5"/>
  <c r="BS18" i="5"/>
  <c r="BQ18" i="5"/>
  <c r="BJ18" i="5"/>
  <c r="BS17" i="5"/>
  <c r="BK17" i="5"/>
  <c r="BI17" i="5"/>
  <c r="BS16" i="5"/>
  <c r="BP16" i="5"/>
  <c r="BN16" i="5"/>
  <c r="BL16" i="5"/>
  <c r="BK16" i="5"/>
  <c r="BI16" i="5"/>
  <c r="BT15" i="5"/>
  <c r="BS15" i="5"/>
  <c r="BQ15" i="5"/>
  <c r="BP15" i="5"/>
  <c r="BN15" i="5"/>
  <c r="BL15" i="5"/>
  <c r="BJ15" i="5"/>
  <c r="BS22" i="5"/>
  <c r="BR22" i="5"/>
  <c r="BP22" i="5"/>
  <c r="BO22" i="5"/>
  <c r="BM22" i="5"/>
  <c r="BK22" i="5"/>
  <c r="BI22" i="5"/>
  <c r="BR21" i="5"/>
  <c r="BP21" i="5"/>
  <c r="BN21" i="5"/>
  <c r="BL21" i="5"/>
  <c r="BJ21" i="5"/>
  <c r="BT20" i="5"/>
  <c r="BS20" i="5"/>
  <c r="BQ20" i="5"/>
  <c r="BO20" i="5"/>
  <c r="BM20" i="5"/>
  <c r="BL20" i="5"/>
  <c r="BJ20" i="5"/>
  <c r="BT19" i="5"/>
  <c r="BS19" i="5"/>
  <c r="BQ19" i="5"/>
  <c r="BL19" i="5"/>
  <c r="BJ19" i="5"/>
  <c r="BT18" i="5"/>
  <c r="BR18" i="5"/>
  <c r="BL18" i="5"/>
  <c r="BK18" i="5"/>
  <c r="BI18" i="5"/>
  <c r="BT17" i="5"/>
  <c r="BR17" i="5"/>
  <c r="BQ17" i="5"/>
  <c r="BP17" i="5"/>
  <c r="BO17" i="5"/>
  <c r="BN17" i="5"/>
  <c r="BM17" i="5"/>
  <c r="BL17" i="5"/>
  <c r="BJ17" i="5"/>
  <c r="BT16" i="5"/>
  <c r="BR16" i="5"/>
  <c r="BQ16" i="5"/>
  <c r="BO16" i="5"/>
  <c r="BM16" i="5"/>
  <c r="BJ16" i="5"/>
  <c r="BR15" i="5"/>
  <c r="BO15" i="5"/>
  <c r="BM15" i="5"/>
  <c r="BK15" i="5"/>
  <c r="BI15" i="5"/>
  <c r="BW14" i="5"/>
  <c r="BT14" i="5"/>
  <c r="BR14" i="5"/>
  <c r="BW13" i="5"/>
  <c r="BU13" i="5"/>
  <c r="BS13" i="5"/>
  <c r="BQ13" i="5"/>
  <c r="BU12" i="5"/>
  <c r="BS12" i="5"/>
  <c r="BQ12" i="5"/>
  <c r="BV11" i="5"/>
  <c r="BW10" i="5"/>
  <c r="BV9" i="5"/>
  <c r="BU9" i="5"/>
  <c r="BS9" i="5"/>
  <c r="BQ9" i="5"/>
  <c r="BW8" i="5"/>
  <c r="BV8" i="5"/>
  <c r="BT8" i="5"/>
  <c r="BR8" i="5"/>
  <c r="BT7" i="5"/>
  <c r="BR7" i="5"/>
  <c r="BW6" i="5"/>
  <c r="BV6" i="5"/>
  <c r="BT6" i="5"/>
  <c r="BS6" i="5"/>
  <c r="BW5" i="5"/>
  <c r="BT5" i="5"/>
  <c r="BR5" i="5"/>
  <c r="BW4" i="5"/>
  <c r="BU4" i="5"/>
  <c r="BS4" i="5"/>
  <c r="BQ4" i="5"/>
  <c r="BU3" i="5"/>
  <c r="BS3" i="5"/>
  <c r="BR3" i="5"/>
  <c r="BW2" i="5"/>
  <c r="BT2" i="5"/>
  <c r="BQ2" i="5"/>
  <c r="BV14" i="5"/>
  <c r="BU14" i="5"/>
  <c r="BS14" i="5"/>
  <c r="BQ14" i="5"/>
  <c r="BV13" i="5"/>
  <c r="BT13" i="5"/>
  <c r="BR13" i="5"/>
  <c r="BW12" i="5"/>
  <c r="BV12" i="5"/>
  <c r="BT12" i="5"/>
  <c r="BR12" i="5"/>
  <c r="BW11" i="5"/>
  <c r="BQ11" i="5"/>
  <c r="BV10" i="5"/>
  <c r="BR10" i="5"/>
  <c r="BQ10" i="5"/>
  <c r="BW9" i="5"/>
  <c r="BT9" i="5"/>
  <c r="BR9" i="5"/>
  <c r="BU8" i="5"/>
  <c r="BS8" i="5"/>
  <c r="BW7" i="5"/>
  <c r="BV7" i="5"/>
  <c r="BU7" i="5"/>
  <c r="BS7" i="5"/>
  <c r="BQ7" i="5"/>
  <c r="BR6" i="5"/>
  <c r="BQ6" i="5"/>
  <c r="BU5" i="5"/>
  <c r="BS5" i="5"/>
  <c r="BV4" i="5"/>
  <c r="BT4" i="5"/>
  <c r="BW3" i="5"/>
  <c r="BV3" i="5"/>
  <c r="BT3" i="5"/>
  <c r="BV2" i="5"/>
  <c r="BU2" i="5"/>
  <c r="BS2" i="5"/>
  <c r="BR2" i="5"/>
  <c r="CD14" i="5"/>
  <c r="CB14" i="5"/>
  <c r="CA14" i="5"/>
  <c r="BZ14" i="5"/>
  <c r="BX14" i="5"/>
  <c r="CB13" i="5"/>
  <c r="BZ13" i="5"/>
  <c r="CD12" i="5"/>
  <c r="CB12" i="5"/>
  <c r="CA12" i="5"/>
  <c r="BY12" i="5"/>
  <c r="CC11" i="5"/>
  <c r="CA11" i="5"/>
  <c r="BY11" i="5"/>
  <c r="BX11" i="5"/>
  <c r="CC10" i="5"/>
  <c r="CB10" i="5"/>
  <c r="CB9" i="5"/>
  <c r="BZ9" i="5"/>
  <c r="BY9" i="5"/>
  <c r="CD8" i="5"/>
  <c r="CB8" i="5"/>
  <c r="CC3" i="5"/>
  <c r="CB3" i="5"/>
  <c r="BZ3" i="5"/>
  <c r="BY3" i="5"/>
  <c r="BX3" i="5"/>
  <c r="CD2" i="5"/>
  <c r="CC2" i="5"/>
  <c r="CB2" i="5"/>
  <c r="CA2" i="5"/>
  <c r="BZ2" i="5"/>
  <c r="BX2" i="5"/>
  <c r="CE22" i="5"/>
  <c r="CD22" i="5"/>
  <c r="CC22" i="5"/>
  <c r="CA22" i="5"/>
  <c r="BY22" i="5"/>
  <c r="BX22" i="5"/>
  <c r="BU22" i="5"/>
  <c r="CF21" i="5"/>
  <c r="CD21" i="5"/>
  <c r="CC21" i="5"/>
  <c r="CA21" i="5"/>
  <c r="BY21" i="5"/>
  <c r="BW21" i="5"/>
  <c r="BV21" i="5"/>
  <c r="BU21" i="5"/>
  <c r="CE20" i="5"/>
  <c r="CB20" i="5"/>
  <c r="BZ20" i="5"/>
  <c r="BY20" i="5"/>
  <c r="BW20" i="5"/>
  <c r="CF19" i="5"/>
  <c r="CD19" i="5"/>
  <c r="BX19" i="5"/>
  <c r="BW19" i="5"/>
  <c r="BU19" i="5"/>
  <c r="CE18" i="5"/>
  <c r="CC18" i="5"/>
  <c r="BX18" i="5"/>
  <c r="BW18" i="5"/>
  <c r="BV18" i="5"/>
  <c r="BU18" i="5"/>
  <c r="CF17" i="5"/>
  <c r="CE17" i="5"/>
  <c r="CD17" i="5"/>
  <c r="CC17" i="5"/>
  <c r="CB17" i="5"/>
  <c r="CA17" i="5"/>
  <c r="BZ17" i="5"/>
  <c r="BY17" i="5"/>
  <c r="BX17" i="5"/>
  <c r="BW17" i="5"/>
  <c r="BV17" i="5"/>
  <c r="BU17" i="5"/>
  <c r="CF16" i="5"/>
  <c r="CE16" i="5"/>
  <c r="CD16" i="5"/>
  <c r="CC16" i="5"/>
  <c r="CB16" i="5"/>
  <c r="CA16" i="5"/>
  <c r="BZ16" i="5"/>
  <c r="BY16" i="5"/>
  <c r="BX16" i="5"/>
  <c r="BW16" i="5"/>
  <c r="BV16" i="5"/>
  <c r="BU16" i="5"/>
  <c r="CF15" i="5"/>
  <c r="CE15" i="5"/>
  <c r="CD15" i="5"/>
  <c r="CC15" i="5"/>
  <c r="CB15" i="5"/>
  <c r="CA15" i="5"/>
  <c r="BZ15" i="5"/>
  <c r="BY15" i="5"/>
  <c r="BX15" i="5"/>
  <c r="BW15" i="5"/>
  <c r="BV15" i="5"/>
  <c r="BU15" i="5"/>
  <c r="CK14" i="5"/>
  <c r="CI14" i="5"/>
  <c r="CG14" i="5"/>
  <c r="CE14" i="5"/>
  <c r="CJ13" i="5"/>
  <c r="CH13" i="5"/>
  <c r="CF13" i="5"/>
  <c r="CI12" i="5"/>
  <c r="CG12" i="5"/>
  <c r="CE12" i="5"/>
  <c r="CJ11" i="5"/>
  <c r="CF11" i="5"/>
  <c r="CK10" i="5"/>
  <c r="CF10" i="5"/>
  <c r="CF5" i="5"/>
  <c r="CJ14" i="5"/>
  <c r="CH14" i="5"/>
  <c r="CF14" i="5"/>
  <c r="CK13" i="5"/>
  <c r="CI13" i="5"/>
  <c r="CG13" i="5"/>
  <c r="CE13" i="5"/>
  <c r="CK12" i="5"/>
  <c r="CJ12" i="5"/>
  <c r="CH12" i="5"/>
  <c r="CF12" i="5"/>
  <c r="CK11" i="5"/>
  <c r="BR11" i="5"/>
  <c r="BQ8" i="5"/>
  <c r="BU6" i="5"/>
  <c r="BV5" i="5"/>
  <c r="BQ5" i="5"/>
  <c r="BR4" i="5"/>
  <c r="BQ3" i="5"/>
  <c r="CC14" i="5"/>
  <c r="BY14" i="5"/>
  <c r="CD13" i="5"/>
  <c r="CC13" i="5"/>
  <c r="CA13" i="5"/>
  <c r="BY13" i="5"/>
  <c r="BX13" i="5"/>
  <c r="CC12" i="5"/>
  <c r="BZ12" i="5"/>
  <c r="BX12" i="5"/>
  <c r="CD11" i="5"/>
  <c r="CB11" i="5"/>
  <c r="BZ11" i="5"/>
  <c r="CD10" i="5"/>
  <c r="CA10" i="5"/>
  <c r="BZ10" i="5"/>
  <c r="BY10" i="5"/>
  <c r="BX10" i="5"/>
  <c r="CD9" i="5"/>
  <c r="CC9" i="5"/>
  <c r="CA9" i="5"/>
  <c r="BX9" i="5"/>
  <c r="CC8" i="5"/>
  <c r="CA8" i="5"/>
  <c r="BZ8" i="5"/>
  <c r="BY8" i="5"/>
  <c r="BX8" i="5"/>
  <c r="CD7" i="5"/>
  <c r="CC7" i="5"/>
  <c r="CB7" i="5"/>
  <c r="CA7" i="5"/>
  <c r="BZ7" i="5"/>
  <c r="BY7" i="5"/>
  <c r="BX7" i="5"/>
  <c r="CD6" i="5"/>
  <c r="CC6" i="5"/>
  <c r="CB6" i="5"/>
  <c r="CA6" i="5"/>
  <c r="BZ6" i="5"/>
  <c r="BY6" i="5"/>
  <c r="BX6" i="5"/>
  <c r="CD5" i="5"/>
  <c r="CC5" i="5"/>
  <c r="CB5" i="5"/>
  <c r="CA5" i="5"/>
  <c r="BZ5" i="5"/>
  <c r="BY5" i="5"/>
  <c r="BX5" i="5"/>
  <c r="CD4" i="5"/>
  <c r="CC4" i="5"/>
  <c r="CB4" i="5"/>
  <c r="CA4" i="5"/>
  <c r="BZ4" i="5"/>
  <c r="BY4" i="5"/>
  <c r="BX4" i="5"/>
  <c r="CD3" i="5"/>
  <c r="CA3" i="5"/>
  <c r="BY2" i="5"/>
  <c r="CF22" i="5"/>
  <c r="CB22" i="5"/>
  <c r="BZ22" i="5"/>
  <c r="BW22" i="5"/>
  <c r="BV22" i="5"/>
  <c r="CE21" i="5"/>
  <c r="CB21" i="5"/>
  <c r="BZ21" i="5"/>
  <c r="BX21" i="5"/>
  <c r="CF20" i="5"/>
  <c r="CD20" i="5"/>
  <c r="CC20" i="5"/>
  <c r="CA20" i="5"/>
  <c r="BX20" i="5"/>
  <c r="BV20" i="5"/>
  <c r="BU20" i="5"/>
  <c r="CE19" i="5"/>
  <c r="CC19" i="5"/>
  <c r="BV19" i="5"/>
  <c r="CF18" i="5"/>
  <c r="CD18" i="5"/>
  <c r="AM4" i="5"/>
  <c r="AL4" i="5"/>
  <c r="AK4" i="5"/>
  <c r="AJ4" i="5"/>
  <c r="AI4" i="5"/>
  <c r="AH4" i="5"/>
  <c r="AN3" i="5"/>
  <c r="AM3" i="5"/>
  <c r="AL3" i="5"/>
  <c r="AK3" i="5"/>
  <c r="AJ3" i="5"/>
  <c r="AI3" i="5"/>
  <c r="AH3" i="5"/>
  <c r="AN2" i="5"/>
  <c r="AM2" i="5"/>
  <c r="AL2" i="5"/>
  <c r="AX2" i="5"/>
  <c r="AW2" i="5"/>
  <c r="BH22" i="5"/>
  <c r="BG22" i="5"/>
  <c r="BF22" i="5"/>
  <c r="BE22" i="5"/>
  <c r="BD22" i="5"/>
  <c r="BC22" i="5"/>
  <c r="BB22" i="5"/>
  <c r="BH21" i="5"/>
  <c r="BG21" i="5"/>
  <c r="BF21" i="5"/>
  <c r="BE21" i="5"/>
  <c r="BD21" i="5"/>
  <c r="BC21" i="5"/>
  <c r="BB21" i="5"/>
  <c r="BH20" i="5"/>
  <c r="BG20" i="5"/>
  <c r="BF20" i="5"/>
  <c r="BE20" i="5"/>
  <c r="BD20" i="5"/>
  <c r="BC20" i="5"/>
  <c r="BB20" i="5"/>
  <c r="BH19" i="5"/>
  <c r="BG19" i="5"/>
  <c r="BF19" i="5"/>
  <c r="BE19" i="5"/>
  <c r="BH18" i="5"/>
  <c r="BG18" i="5"/>
  <c r="BF18" i="5"/>
  <c r="BE18" i="5"/>
  <c r="BH17" i="5"/>
  <c r="BG17" i="5"/>
  <c r="BF17" i="5"/>
  <c r="BE17" i="5"/>
  <c r="BD17" i="5"/>
  <c r="BC17" i="5"/>
  <c r="BB17" i="5"/>
  <c r="BH16" i="5"/>
  <c r="BG16" i="5"/>
  <c r="BF16" i="5"/>
  <c r="BE16" i="5"/>
  <c r="BD16" i="5"/>
  <c r="BC16" i="5"/>
  <c r="BB16" i="5"/>
  <c r="BH15" i="5"/>
  <c r="BG15" i="5"/>
  <c r="BF15" i="5"/>
  <c r="BE15" i="5"/>
  <c r="BD15" i="5"/>
  <c r="BC15" i="5"/>
  <c r="BB15" i="5"/>
  <c r="BI14" i="5"/>
  <c r="BH14" i="5"/>
  <c r="BG14" i="5"/>
  <c r="BF14" i="5"/>
  <c r="BE14" i="5"/>
  <c r="BD14" i="5"/>
  <c r="BC14" i="5"/>
  <c r="BI13" i="5"/>
  <c r="BH13" i="5"/>
  <c r="BG13" i="5"/>
  <c r="BF13" i="5"/>
  <c r="BE13" i="5"/>
  <c r="BD13" i="5"/>
  <c r="BC13" i="5"/>
  <c r="BI12" i="5"/>
  <c r="BH12" i="5"/>
  <c r="BG12" i="5"/>
  <c r="BF12" i="5"/>
  <c r="BE12" i="5"/>
  <c r="BD12" i="5"/>
  <c r="BC12" i="5"/>
  <c r="BI11" i="5"/>
  <c r="BH11" i="5"/>
  <c r="BD11" i="5"/>
  <c r="BC11" i="5"/>
  <c r="BI10" i="5"/>
  <c r="BH10" i="5"/>
  <c r="BD10" i="5"/>
  <c r="BC10" i="5"/>
  <c r="BI9" i="5"/>
  <c r="BH9" i="5"/>
  <c r="BG9" i="5"/>
  <c r="BF9" i="5"/>
  <c r="BE9" i="5"/>
  <c r="BC9" i="5"/>
  <c r="BH8" i="5"/>
  <c r="BG8" i="5"/>
  <c r="BE8" i="5"/>
  <c r="BC8" i="5"/>
  <c r="BG7" i="5"/>
  <c r="BE7" i="5"/>
  <c r="BC7" i="5"/>
  <c r="BG6" i="5"/>
  <c r="BF6" i="5"/>
  <c r="BC6" i="5"/>
  <c r="BI5" i="5"/>
  <c r="BF5" i="5"/>
  <c r="BD5" i="5"/>
  <c r="BC5" i="5"/>
  <c r="BH4" i="5"/>
  <c r="BF4" i="5"/>
  <c r="BD4" i="5"/>
  <c r="BI3" i="5"/>
  <c r="BG3" i="5"/>
  <c r="BF3" i="5"/>
  <c r="BD3" i="5"/>
  <c r="BC3" i="5"/>
  <c r="BH2" i="5"/>
  <c r="BF2" i="5"/>
  <c r="BD2" i="5"/>
  <c r="BP14" i="5"/>
  <c r="BN14" i="5"/>
  <c r="BL14" i="5"/>
  <c r="BJ8" i="5"/>
  <c r="BN7" i="5"/>
  <c r="BK7" i="5"/>
  <c r="BP6" i="5"/>
  <c r="BM6" i="5"/>
  <c r="BJ6" i="5"/>
  <c r="BO5" i="5"/>
  <c r="CE11" i="5"/>
  <c r="CJ10" i="5"/>
  <c r="CE10" i="5"/>
  <c r="CK9" i="5"/>
  <c r="CJ9" i="5"/>
  <c r="CI9" i="5"/>
  <c r="CH9" i="5"/>
  <c r="CG9" i="5"/>
  <c r="CF9" i="5"/>
  <c r="CE9" i="5"/>
  <c r="CK8" i="5"/>
  <c r="CJ8" i="5"/>
  <c r="CI8" i="5"/>
  <c r="CH8" i="5"/>
  <c r="CG8" i="5"/>
  <c r="CF8" i="5"/>
  <c r="CE8" i="5"/>
  <c r="CK7" i="5"/>
  <c r="CJ7" i="5"/>
  <c r="CI7" i="5"/>
  <c r="CH7" i="5"/>
  <c r="CG7" i="5"/>
  <c r="CF7" i="5"/>
  <c r="CE7" i="5"/>
  <c r="CK6" i="5"/>
  <c r="CJ6" i="5"/>
  <c r="CI6" i="5"/>
  <c r="CH6" i="5"/>
  <c r="CG6" i="5"/>
  <c r="CF6" i="5"/>
  <c r="CE6" i="5"/>
  <c r="CK5" i="5"/>
  <c r="CJ5" i="5"/>
  <c r="CI5" i="5"/>
  <c r="CH5" i="5"/>
  <c r="CG5" i="5"/>
  <c r="CE5" i="5"/>
  <c r="CK4" i="5"/>
  <c r="CJ4" i="5"/>
  <c r="AK2" i="5"/>
  <c r="AJ2" i="5"/>
  <c r="AI2" i="5"/>
  <c r="AH2" i="5"/>
  <c r="AV22" i="5"/>
  <c r="AT22" i="5"/>
  <c r="AR22" i="5"/>
  <c r="AP22" i="5"/>
  <c r="AV21" i="5"/>
  <c r="AT21" i="5"/>
  <c r="AR21" i="5"/>
  <c r="AP21" i="5"/>
  <c r="AV20" i="5"/>
  <c r="AT20" i="5"/>
  <c r="AR20" i="5"/>
  <c r="AP20" i="5"/>
  <c r="AV19" i="5"/>
  <c r="AT19" i="5"/>
  <c r="AV18" i="5"/>
  <c r="AT18" i="5"/>
  <c r="AV17" i="5"/>
  <c r="AS17" i="5"/>
  <c r="AR17" i="5"/>
  <c r="AP17" i="5"/>
  <c r="AO17" i="5"/>
  <c r="AU16" i="5"/>
  <c r="AT16" i="5"/>
  <c r="AR16" i="5"/>
  <c r="AP16" i="5"/>
  <c r="AV15" i="5"/>
  <c r="AU15" i="5"/>
  <c r="AT15" i="5"/>
  <c r="AR15" i="5"/>
  <c r="AQ15" i="5"/>
  <c r="AO15" i="5"/>
  <c r="AU14" i="5"/>
  <c r="AS14" i="5"/>
  <c r="AQ14" i="5"/>
  <c r="AP14" i="5"/>
  <c r="AV13" i="5"/>
  <c r="AT13" i="5"/>
  <c r="AU12" i="5"/>
  <c r="AU22" i="5"/>
  <c r="AS22" i="5"/>
  <c r="AQ22" i="5"/>
  <c r="AO22" i="5"/>
  <c r="AU21" i="5"/>
  <c r="AS21" i="5"/>
  <c r="AQ21" i="5"/>
  <c r="AO21" i="5"/>
  <c r="AU20" i="5"/>
  <c r="AS20" i="5"/>
  <c r="AQ20" i="5"/>
  <c r="AO20" i="5"/>
  <c r="AU19" i="5"/>
  <c r="AS19" i="5"/>
  <c r="AU18" i="5"/>
  <c r="AS18" i="5"/>
  <c r="AU17" i="5"/>
  <c r="AT17" i="5"/>
  <c r="AQ17" i="5"/>
  <c r="AV16" i="5"/>
  <c r="AS16" i="5"/>
  <c r="AQ16" i="5"/>
  <c r="AO16" i="5"/>
  <c r="AS15" i="5"/>
  <c r="AP15" i="5"/>
  <c r="AV14" i="5"/>
  <c r="AT14" i="5"/>
  <c r="AR14" i="5"/>
  <c r="AO14" i="5"/>
  <c r="AU13" i="5"/>
  <c r="AS13" i="5"/>
  <c r="AR13" i="5"/>
  <c r="AQ13" i="5"/>
  <c r="AP13" i="5"/>
  <c r="AO13" i="5"/>
  <c r="AV12" i="5"/>
  <c r="AT12" i="5"/>
  <c r="AS12" i="5"/>
  <c r="AR12" i="5"/>
  <c r="AQ12" i="5"/>
  <c r="AP12" i="5"/>
  <c r="AO12" i="5"/>
  <c r="AV11" i="5"/>
  <c r="AU11" i="5"/>
  <c r="AT11" i="5"/>
  <c r="AS11" i="5"/>
  <c r="AR11" i="5"/>
  <c r="AQ11" i="5"/>
  <c r="AP11" i="5"/>
  <c r="AO11" i="5"/>
  <c r="AV10" i="5"/>
  <c r="AU10" i="5"/>
  <c r="AT10" i="5"/>
  <c r="AS10" i="5"/>
  <c r="AR10" i="5"/>
  <c r="AQ10" i="5"/>
  <c r="AP10" i="5"/>
  <c r="AO10" i="5"/>
  <c r="AV9" i="5"/>
  <c r="AU9" i="5"/>
  <c r="AT9" i="5"/>
  <c r="AS9" i="5"/>
  <c r="AR9" i="5"/>
  <c r="AQ9" i="5"/>
  <c r="AP9" i="5"/>
  <c r="AO9" i="5"/>
  <c r="AV8" i="5"/>
  <c r="AU8" i="5"/>
  <c r="AT8" i="5"/>
  <c r="AS8" i="5"/>
  <c r="AR8" i="5"/>
  <c r="AQ8" i="5"/>
  <c r="AP8" i="5"/>
  <c r="AO8" i="5"/>
  <c r="AV7" i="5"/>
  <c r="AU7" i="5"/>
  <c r="AT7" i="5"/>
  <c r="AS7" i="5"/>
  <c r="AR7" i="5"/>
  <c r="AQ7" i="5"/>
  <c r="AP7" i="5"/>
  <c r="AO7" i="5"/>
  <c r="AV6" i="5"/>
  <c r="AU6" i="5"/>
  <c r="AT6" i="5"/>
  <c r="AS6" i="5"/>
  <c r="AR6" i="5"/>
  <c r="AQ6" i="5"/>
  <c r="AP6" i="5"/>
  <c r="AO6" i="5"/>
  <c r="AV5" i="5"/>
  <c r="AU5" i="5"/>
  <c r="AT5" i="5"/>
  <c r="AS5" i="5"/>
  <c r="AR5" i="5"/>
  <c r="AQ5" i="5"/>
  <c r="AP5" i="5"/>
  <c r="AO5" i="5"/>
  <c r="AV4" i="5"/>
  <c r="AU4" i="5"/>
  <c r="AT4" i="5"/>
  <c r="AS4" i="5"/>
  <c r="AR4" i="5"/>
  <c r="AQ4" i="5"/>
  <c r="AP4" i="5"/>
  <c r="AO4" i="5"/>
  <c r="AV3" i="5"/>
  <c r="AU3" i="5"/>
  <c r="AT3" i="5"/>
  <c r="AS3" i="5"/>
  <c r="AR3" i="5"/>
  <c r="AQ3" i="5"/>
  <c r="AP3" i="5"/>
  <c r="AO3" i="5"/>
  <c r="AV2" i="5"/>
  <c r="AU2" i="5"/>
  <c r="AT2" i="5"/>
  <c r="AS2" i="5"/>
  <c r="AR2" i="5"/>
  <c r="AQ2" i="5"/>
  <c r="AP2" i="5"/>
  <c r="AO2" i="5"/>
  <c r="AM21" i="5"/>
  <c r="AN20" i="5"/>
  <c r="AM19" i="5"/>
  <c r="AK18" i="5"/>
  <c r="AM17" i="5"/>
  <c r="AM16" i="5"/>
  <c r="AL15" i="5"/>
  <c r="AL22" i="5"/>
  <c r="AL21" i="5"/>
  <c r="AL20" i="5"/>
  <c r="AK19" i="5"/>
  <c r="AM18" i="5"/>
  <c r="AL17" i="5"/>
  <c r="AK16" i="5"/>
  <c r="AM15" i="5"/>
  <c r="AN22" i="5"/>
  <c r="AN21" i="5"/>
  <c r="AK20" i="5"/>
  <c r="AN15" i="5"/>
  <c r="AM22" i="5"/>
  <c r="AK22" i="5"/>
  <c r="AK21" i="5"/>
  <c r="AM20" i="5"/>
  <c r="AN19" i="5"/>
  <c r="AL19" i="5"/>
  <c r="AN18" i="5"/>
  <c r="AL18" i="5"/>
  <c r="AN17" i="5"/>
  <c r="AK17" i="5"/>
  <c r="AN16" i="5"/>
  <c r="AL16" i="5"/>
  <c r="AK15" i="5"/>
  <c r="BA22" i="5"/>
  <c r="AZ22" i="5"/>
  <c r="AY22" i="5"/>
  <c r="AX22" i="5"/>
  <c r="AW22" i="5"/>
  <c r="BA21" i="5"/>
  <c r="AZ21" i="5"/>
  <c r="AY21" i="5"/>
  <c r="AX21" i="5"/>
  <c r="AW21" i="5"/>
  <c r="BA20" i="5"/>
  <c r="AZ20" i="5"/>
  <c r="AY20" i="5"/>
  <c r="AX20" i="5"/>
  <c r="AW20" i="5"/>
  <c r="AZ19" i="5"/>
  <c r="AY19" i="5"/>
  <c r="AX19" i="5"/>
  <c r="AW19" i="5"/>
  <c r="AZ18" i="5"/>
  <c r="AY18" i="5"/>
  <c r="AX18" i="5"/>
  <c r="AW18" i="5"/>
  <c r="BA17" i="5"/>
  <c r="AZ17" i="5"/>
  <c r="AY17" i="5"/>
  <c r="AX17" i="5"/>
  <c r="AW17" i="5"/>
  <c r="BA16" i="5"/>
  <c r="AZ16" i="5"/>
  <c r="AY16" i="5"/>
  <c r="AX16" i="5"/>
  <c r="AW16" i="5"/>
  <c r="BA15" i="5"/>
  <c r="AZ15" i="5"/>
  <c r="AY15" i="5"/>
  <c r="AX15" i="5"/>
  <c r="AW15" i="5"/>
  <c r="BB14" i="5"/>
  <c r="BA14" i="5"/>
  <c r="AZ14" i="5"/>
  <c r="AY14" i="5"/>
  <c r="AX14" i="5"/>
  <c r="AW14" i="5"/>
  <c r="BB13" i="5"/>
  <c r="BA13" i="5"/>
  <c r="AZ13" i="5"/>
  <c r="AY13" i="5"/>
  <c r="AX13" i="5"/>
  <c r="AW13" i="5"/>
  <c r="BB12" i="5"/>
  <c r="BA12" i="5"/>
  <c r="AZ12" i="5"/>
  <c r="AY12" i="5"/>
  <c r="AX12" i="5"/>
  <c r="AW12" i="5"/>
  <c r="BB11" i="5"/>
  <c r="BA11" i="5"/>
  <c r="AZ11" i="5"/>
  <c r="AY11" i="5"/>
  <c r="AX11" i="5"/>
  <c r="AW11" i="5"/>
  <c r="BB10" i="5"/>
  <c r="BA10" i="5"/>
  <c r="AZ10" i="5"/>
  <c r="AY10" i="5"/>
  <c r="AX10" i="5"/>
  <c r="AW10" i="5"/>
  <c r="BB9" i="5"/>
  <c r="BA9" i="5"/>
  <c r="AZ9" i="5"/>
  <c r="AY9" i="5"/>
  <c r="AX9" i="5"/>
  <c r="AW9" i="5"/>
  <c r="BB8" i="5"/>
  <c r="BA8" i="5"/>
  <c r="AZ8" i="5"/>
  <c r="AY8" i="5"/>
  <c r="AX8" i="5"/>
  <c r="AW8" i="5"/>
  <c r="BB7" i="5"/>
  <c r="BA7" i="5"/>
  <c r="AZ7" i="5"/>
  <c r="AY7" i="5"/>
  <c r="AX7" i="5"/>
  <c r="AW7" i="5"/>
  <c r="BB6" i="5"/>
  <c r="BA6" i="5"/>
  <c r="AZ6" i="5"/>
  <c r="AY6" i="5"/>
  <c r="AX6" i="5"/>
  <c r="AW6" i="5"/>
  <c r="AZ5" i="5"/>
  <c r="AX5" i="5"/>
  <c r="AW5" i="5"/>
  <c r="BA4" i="5"/>
  <c r="AZ4" i="5"/>
  <c r="AW4" i="5"/>
  <c r="BA3" i="5"/>
  <c r="AX3" i="5"/>
  <c r="AZ2" i="5"/>
  <c r="BJ14" i="5"/>
  <c r="BO13" i="5"/>
  <c r="BK13" i="5"/>
  <c r="BO12" i="5"/>
  <c r="BL12" i="5"/>
  <c r="BK12" i="5"/>
  <c r="BJ12" i="5"/>
  <c r="BP11" i="5"/>
  <c r="BO11" i="5"/>
  <c r="BK11" i="5"/>
  <c r="BP10" i="5"/>
  <c r="BO10" i="5"/>
  <c r="BM10" i="5"/>
  <c r="BK10" i="5"/>
  <c r="BP9" i="5"/>
  <c r="BL9" i="5"/>
  <c r="BP8" i="5"/>
  <c r="BO8" i="5"/>
  <c r="T14" i="5"/>
  <c r="Y13" i="5"/>
  <c r="Y12" i="5"/>
  <c r="Y9" i="5"/>
  <c r="X7" i="5"/>
  <c r="Y5" i="5"/>
  <c r="T5" i="5"/>
  <c r="U4" i="5"/>
  <c r="Z14" i="5"/>
  <c r="U14" i="5"/>
  <c r="Z13" i="5"/>
  <c r="Z12" i="5"/>
  <c r="W12" i="5"/>
  <c r="Y11" i="5"/>
  <c r="U9" i="5"/>
  <c r="W8" i="5"/>
  <c r="Y7" i="5"/>
  <c r="W6" i="5"/>
  <c r="X5" i="5"/>
  <c r="X4" i="5"/>
  <c r="T4" i="5"/>
  <c r="AG13" i="5"/>
  <c r="AF12" i="5"/>
  <c r="AD12" i="5"/>
  <c r="AG11" i="5"/>
  <c r="AF11" i="5"/>
  <c r="AE9" i="5"/>
  <c r="AG8" i="5"/>
  <c r="AE8" i="5"/>
  <c r="AE7" i="5"/>
  <c r="AF6" i="5"/>
  <c r="AC6" i="5"/>
  <c r="AE5" i="5"/>
  <c r="AG4" i="5"/>
  <c r="AD4" i="5"/>
  <c r="AD3" i="5"/>
  <c r="AA3" i="5"/>
  <c r="AJ22" i="5"/>
  <c r="AE22" i="5"/>
  <c r="AB22" i="5"/>
  <c r="AE21" i="5"/>
  <c r="AG20" i="5"/>
  <c r="AB20" i="5"/>
  <c r="Y20" i="5"/>
  <c r="AJ18" i="5"/>
  <c r="AC17" i="5"/>
  <c r="BL8" i="5"/>
  <c r="CN10" i="5"/>
  <c r="CL10" i="5"/>
  <c r="CM9" i="5"/>
  <c r="CL9" i="5"/>
  <c r="CQ8" i="5"/>
  <c r="CM8" i="5"/>
  <c r="CN7" i="5"/>
  <c r="CL7" i="5"/>
  <c r="CP6" i="5"/>
  <c r="CN6" i="5"/>
  <c r="CM6" i="5"/>
  <c r="CL6" i="5"/>
  <c r="CQ5" i="5"/>
  <c r="CN5" i="5"/>
  <c r="CM5" i="5"/>
  <c r="CN4" i="5"/>
  <c r="CP3" i="5"/>
  <c r="CN3" i="5"/>
  <c r="CQ2" i="5"/>
  <c r="CP2" i="5"/>
  <c r="CN2" i="5"/>
  <c r="CM2" i="5"/>
  <c r="CR22" i="5"/>
  <c r="CP22" i="5"/>
  <c r="CL22" i="5"/>
  <c r="CJ22" i="5"/>
  <c r="CG22" i="5"/>
  <c r="CO21" i="5"/>
  <c r="CM21" i="5"/>
  <c r="CR20" i="5"/>
  <c r="CN20" i="5"/>
  <c r="CK20" i="5"/>
  <c r="CH20" i="5"/>
  <c r="CG20" i="5"/>
  <c r="CP19" i="5"/>
  <c r="CI19" i="5"/>
  <c r="CR18" i="5"/>
  <c r="CR17" i="5"/>
  <c r="CP17" i="5"/>
  <c r="CN17" i="5"/>
  <c r="CK17" i="5"/>
  <c r="CI17" i="5"/>
  <c r="CH17" i="5"/>
  <c r="CG17" i="5"/>
  <c r="CN16" i="5"/>
  <c r="CL16" i="5"/>
  <c r="CG16" i="5"/>
  <c r="CP15" i="5"/>
  <c r="CO15" i="5"/>
  <c r="CL15" i="5"/>
  <c r="CJ15" i="5"/>
  <c r="I4" i="5"/>
  <c r="CJ19" i="5"/>
  <c r="V12" i="5"/>
  <c r="T8" i="5"/>
  <c r="Z3" i="5"/>
  <c r="V3" i="5"/>
  <c r="V2" i="5"/>
  <c r="Z2" i="5"/>
  <c r="AF14" i="5"/>
  <c r="AD14" i="5"/>
  <c r="AF13" i="5"/>
  <c r="AC13" i="5"/>
  <c r="AG12" i="5"/>
  <c r="AE12" i="5"/>
  <c r="AA12" i="5"/>
  <c r="AE11" i="5"/>
  <c r="AE10" i="5"/>
  <c r="AF7" i="5"/>
  <c r="AC7" i="5"/>
  <c r="AG6" i="5"/>
  <c r="AA6" i="5"/>
  <c r="AA4" i="5"/>
  <c r="AA16" i="5"/>
  <c r="AH15" i="5"/>
  <c r="AE15" i="5"/>
  <c r="AA15" i="5"/>
  <c r="AM14" i="5"/>
  <c r="AJ14" i="5"/>
  <c r="AN13" i="5"/>
  <c r="AK13" i="5"/>
  <c r="AJ13" i="5"/>
  <c r="AI13" i="5"/>
  <c r="AN12" i="5"/>
  <c r="AI12" i="5"/>
  <c r="AI11" i="5"/>
  <c r="AH11" i="5"/>
  <c r="GP10" i="5"/>
  <c r="GN10" i="5"/>
  <c r="GL10" i="5"/>
  <c r="GF10" i="5"/>
  <c r="JD9" i="5"/>
  <c r="JB9" i="5"/>
  <c r="IZ9" i="5"/>
  <c r="IY9" i="5"/>
  <c r="IW9" i="5"/>
  <c r="IU9" i="5"/>
  <c r="IT9" i="5"/>
  <c r="IR9" i="5"/>
  <c r="IQ9" i="5"/>
  <c r="IO9" i="5"/>
  <c r="IN9" i="5"/>
  <c r="IL9" i="5"/>
  <c r="IJ9" i="5"/>
  <c r="IH9" i="5"/>
  <c r="IF9" i="5"/>
  <c r="ID9" i="5"/>
  <c r="IA9" i="5"/>
  <c r="HY9" i="5"/>
  <c r="HW9" i="5"/>
  <c r="HU9" i="5"/>
  <c r="HS9" i="5"/>
  <c r="HQ9" i="5"/>
  <c r="HP9" i="5"/>
  <c r="HN9" i="5"/>
  <c r="HL9" i="5"/>
  <c r="HJ9" i="5"/>
  <c r="HH9" i="5"/>
  <c r="HF9" i="5"/>
  <c r="HD9" i="5"/>
  <c r="HB9" i="5"/>
  <c r="GZ9" i="5"/>
  <c r="GX9" i="5"/>
  <c r="GU9" i="5"/>
  <c r="GS9" i="5"/>
  <c r="GQ9" i="5"/>
  <c r="GO9" i="5"/>
  <c r="GM9" i="5"/>
  <c r="GK9" i="5"/>
  <c r="GI9" i="5"/>
  <c r="GH9" i="5"/>
  <c r="GF9" i="5"/>
  <c r="JC8" i="5"/>
  <c r="JA8" i="5"/>
  <c r="IY8" i="5"/>
  <c r="IW8" i="5"/>
  <c r="IV8" i="5"/>
  <c r="IT8" i="5"/>
  <c r="IR8" i="5"/>
  <c r="IP8" i="5"/>
  <c r="IN8" i="5"/>
  <c r="IL8" i="5"/>
  <c r="IJ8" i="5"/>
  <c r="IH8" i="5"/>
  <c r="IF8" i="5"/>
  <c r="ID8" i="5"/>
  <c r="IB8" i="5"/>
  <c r="HZ8" i="5"/>
  <c r="HX8" i="5"/>
  <c r="HV8" i="5"/>
  <c r="HS8" i="5"/>
  <c r="HQ8" i="5"/>
  <c r="HO8" i="5"/>
  <c r="HL8" i="5"/>
  <c r="HJ8" i="5"/>
  <c r="HH8" i="5"/>
  <c r="HF8" i="5"/>
  <c r="HD8" i="5"/>
  <c r="HB8" i="5"/>
  <c r="GZ8" i="5"/>
  <c r="GX8" i="5"/>
  <c r="GV8" i="5"/>
  <c r="GT8" i="5"/>
  <c r="GS8" i="5"/>
  <c r="GQ8" i="5"/>
  <c r="GO8" i="5"/>
  <c r="GN8" i="5"/>
  <c r="GL8" i="5"/>
  <c r="GJ8" i="5"/>
  <c r="GH8" i="5"/>
  <c r="GG8" i="5"/>
  <c r="JD7" i="5"/>
  <c r="JB7" i="5"/>
  <c r="IY7" i="5"/>
  <c r="IW7" i="5"/>
  <c r="IU7" i="5"/>
  <c r="IS7" i="5"/>
  <c r="IR7" i="5"/>
  <c r="IP7" i="5"/>
  <c r="IN7" i="5"/>
  <c r="IL7" i="5"/>
  <c r="IJ7" i="5"/>
  <c r="IH7" i="5"/>
  <c r="IF7" i="5"/>
  <c r="ID7" i="5"/>
  <c r="IB7" i="5"/>
  <c r="HZ7" i="5"/>
  <c r="HX7" i="5"/>
  <c r="HV7" i="5"/>
  <c r="HT7" i="5"/>
  <c r="HR7" i="5"/>
  <c r="HP7" i="5"/>
  <c r="HO7" i="5"/>
  <c r="HM7" i="5"/>
  <c r="HL7" i="5"/>
  <c r="HI7" i="5"/>
  <c r="HG7" i="5"/>
  <c r="HE7" i="5"/>
  <c r="IH6" i="5"/>
  <c r="IG6" i="5"/>
  <c r="IF6" i="5"/>
  <c r="IE6" i="5"/>
  <c r="ID6" i="5"/>
  <c r="IB6" i="5"/>
  <c r="HZ6" i="5"/>
  <c r="HX6" i="5"/>
  <c r="HV6" i="5"/>
  <c r="HS6" i="5"/>
  <c r="HP6" i="5"/>
  <c r="HN6" i="5"/>
  <c r="HL6" i="5"/>
  <c r="HJ6" i="5"/>
  <c r="HH6" i="5"/>
  <c r="HF6" i="5"/>
  <c r="HD6" i="5"/>
  <c r="HB6" i="5"/>
  <c r="GZ6" i="5"/>
  <c r="GX6" i="5"/>
  <c r="GV6" i="5"/>
  <c r="GT6" i="5"/>
  <c r="GR6" i="5"/>
  <c r="GP6" i="5"/>
  <c r="GN6" i="5"/>
  <c r="GL6" i="5"/>
  <c r="GJ6" i="5"/>
  <c r="GH6" i="5"/>
  <c r="GF6" i="5"/>
  <c r="JD5" i="5"/>
  <c r="JB5" i="5"/>
  <c r="IZ5" i="5"/>
  <c r="IX5" i="5"/>
  <c r="IV5" i="5"/>
  <c r="IT5" i="5"/>
  <c r="IR5" i="5"/>
  <c r="IP5" i="5"/>
  <c r="IN5" i="5"/>
  <c r="IL5" i="5"/>
  <c r="IJ5" i="5"/>
  <c r="IH5" i="5"/>
  <c r="IF5" i="5"/>
  <c r="ID5" i="5"/>
  <c r="IB5" i="5"/>
  <c r="HZ5" i="5"/>
  <c r="HY5" i="5"/>
  <c r="HW5" i="5"/>
  <c r="HV5" i="5"/>
  <c r="HT5" i="5"/>
  <c r="HR5" i="5"/>
  <c r="HP5" i="5"/>
  <c r="HN5" i="5"/>
  <c r="HL5" i="5"/>
  <c r="HJ5" i="5"/>
  <c r="HH5" i="5"/>
  <c r="HE5" i="5"/>
  <c r="HC5" i="5"/>
  <c r="HA5" i="5"/>
  <c r="GY5" i="5"/>
  <c r="GW5" i="5"/>
  <c r="GT5" i="5"/>
  <c r="GR5" i="5"/>
  <c r="GP5" i="5"/>
  <c r="GN5" i="5"/>
  <c r="GL5" i="5"/>
  <c r="GJ5" i="5"/>
  <c r="GH5" i="5"/>
  <c r="GF5" i="5"/>
  <c r="JD4" i="5"/>
  <c r="JB4" i="5"/>
  <c r="IZ4" i="5"/>
  <c r="IY4" i="5"/>
  <c r="IW4" i="5"/>
  <c r="IV4" i="5"/>
  <c r="IT4" i="5"/>
  <c r="IR4" i="5"/>
  <c r="IP4" i="5"/>
  <c r="IN4" i="5"/>
  <c r="IL4" i="5"/>
  <c r="IJ4" i="5"/>
  <c r="IH4" i="5"/>
  <c r="IF4" i="5"/>
  <c r="ID4" i="5"/>
  <c r="IB4" i="5"/>
  <c r="HZ4" i="5"/>
  <c r="HY4" i="5"/>
  <c r="HX4" i="5"/>
  <c r="HW4" i="5"/>
  <c r="HV4" i="5"/>
  <c r="HU4" i="5"/>
  <c r="HT4" i="5"/>
  <c r="HS4" i="5"/>
  <c r="HR4" i="5"/>
  <c r="HP4" i="5"/>
  <c r="HN4" i="5"/>
  <c r="HL4" i="5"/>
  <c r="HJ4" i="5"/>
  <c r="HH4" i="5"/>
  <c r="HF4" i="5"/>
  <c r="HD4" i="5"/>
  <c r="HB4" i="5"/>
  <c r="GZ4" i="5"/>
  <c r="GX4" i="5"/>
  <c r="GV4" i="5"/>
  <c r="GT4" i="5"/>
  <c r="GR4" i="5"/>
  <c r="GP4" i="5"/>
  <c r="GN4" i="5"/>
  <c r="GL4" i="5"/>
  <c r="GK4" i="5"/>
  <c r="GI4" i="5"/>
  <c r="GF4" i="5"/>
  <c r="JD3" i="5"/>
  <c r="JB3" i="5"/>
  <c r="JA3" i="5"/>
  <c r="IY3" i="5"/>
  <c r="IW3" i="5"/>
  <c r="IU3" i="5"/>
  <c r="IS3" i="5"/>
  <c r="IQ3" i="5"/>
  <c r="IO3" i="5"/>
  <c r="IM3" i="5"/>
  <c r="IK3" i="5"/>
  <c r="II3" i="5"/>
  <c r="IG3" i="5"/>
  <c r="ID3" i="5"/>
  <c r="IB3" i="5"/>
  <c r="HZ3" i="5"/>
  <c r="HX3" i="5"/>
  <c r="HV3" i="5"/>
  <c r="EX22" i="5"/>
  <c r="EW22" i="5"/>
  <c r="EV22" i="5"/>
  <c r="EU22" i="5"/>
  <c r="ET22" i="5"/>
  <c r="ES22" i="5"/>
  <c r="ER22" i="5"/>
  <c r="EQ22" i="5"/>
  <c r="EP22" i="5"/>
  <c r="EO22" i="5"/>
  <c r="EN22" i="5"/>
  <c r="EM22" i="5"/>
  <c r="EL22" i="5"/>
  <c r="EK22" i="5"/>
  <c r="EJ22" i="5"/>
  <c r="EI22" i="5"/>
  <c r="EH22" i="5"/>
  <c r="EG22" i="5"/>
  <c r="EF22" i="5"/>
  <c r="EE22" i="5"/>
  <c r="ED22" i="5"/>
  <c r="EC22" i="5"/>
  <c r="EB22" i="5"/>
  <c r="EA22" i="5"/>
  <c r="DZ22" i="5"/>
  <c r="DY22" i="5"/>
  <c r="DX22" i="5"/>
  <c r="DW22" i="5"/>
  <c r="DV22" i="5"/>
  <c r="DU22" i="5"/>
  <c r="DT22" i="5"/>
  <c r="DS22" i="5"/>
  <c r="DR22" i="5"/>
  <c r="DQ22" i="5"/>
  <c r="DP22" i="5"/>
  <c r="DO22" i="5"/>
  <c r="DN22" i="5"/>
  <c r="DM22" i="5"/>
  <c r="DL22" i="5"/>
  <c r="DK22" i="5"/>
  <c r="DJ22" i="5"/>
  <c r="DI22" i="5"/>
  <c r="DH22" i="5"/>
  <c r="DG22" i="5"/>
  <c r="DF22" i="5"/>
  <c r="DE22" i="5"/>
  <c r="FX21" i="5"/>
  <c r="FW21" i="5"/>
  <c r="FV21" i="5"/>
  <c r="FU21" i="5"/>
  <c r="FT21" i="5"/>
  <c r="FS21" i="5"/>
  <c r="FR21" i="5"/>
  <c r="FQ21" i="5"/>
  <c r="FP21" i="5"/>
  <c r="FO21" i="5"/>
  <c r="FN21" i="5"/>
  <c r="FM21" i="5"/>
  <c r="FL21" i="5"/>
  <c r="FK21" i="5"/>
  <c r="FJ21" i="5"/>
  <c r="FI21" i="5"/>
  <c r="FH21" i="5"/>
  <c r="FG21" i="5"/>
  <c r="FF21" i="5"/>
  <c r="FE21" i="5"/>
  <c r="FD21" i="5"/>
  <c r="FC21" i="5"/>
  <c r="FB21" i="5"/>
  <c r="FA21" i="5"/>
  <c r="EZ21" i="5"/>
  <c r="EY21" i="5"/>
  <c r="EX21" i="5"/>
  <c r="EW21" i="5"/>
  <c r="EV21" i="5"/>
  <c r="EU21" i="5"/>
  <c r="ET21" i="5"/>
  <c r="ES21" i="5"/>
  <c r="ER21" i="5"/>
  <c r="EQ21" i="5"/>
  <c r="EP21" i="5"/>
  <c r="EO21" i="5"/>
  <c r="EN21" i="5"/>
  <c r="EM21" i="5"/>
  <c r="EL21" i="5"/>
  <c r="EK21" i="5"/>
  <c r="EJ21" i="5"/>
  <c r="EI21" i="5"/>
  <c r="EH21" i="5"/>
  <c r="EG21" i="5"/>
  <c r="EF21" i="5"/>
  <c r="EE21" i="5"/>
  <c r="ED21" i="5"/>
  <c r="EC21" i="5"/>
  <c r="EB21" i="5"/>
  <c r="EA21" i="5"/>
  <c r="DZ21" i="5"/>
  <c r="DY21" i="5"/>
  <c r="DX21" i="5"/>
  <c r="DW21" i="5"/>
  <c r="DV21" i="5"/>
  <c r="DU21" i="5"/>
  <c r="DT21" i="5"/>
  <c r="DS21" i="5"/>
  <c r="DR21" i="5"/>
  <c r="DQ21" i="5"/>
  <c r="DP21" i="5"/>
  <c r="DO21" i="5"/>
  <c r="DN21" i="5"/>
  <c r="DM21" i="5"/>
  <c r="DL21" i="5"/>
  <c r="DK21" i="5"/>
  <c r="DJ21" i="5"/>
  <c r="DI21" i="5"/>
  <c r="DH21" i="5"/>
  <c r="DG21" i="5"/>
  <c r="DF21" i="5"/>
  <c r="DE21" i="5"/>
  <c r="FX20" i="5"/>
  <c r="FW20" i="5"/>
  <c r="FV20" i="5"/>
  <c r="FU20" i="5"/>
  <c r="FT20" i="5"/>
  <c r="FS20" i="5"/>
  <c r="FR20" i="5"/>
  <c r="FQ20" i="5"/>
  <c r="FP20" i="5"/>
  <c r="FO20" i="5"/>
  <c r="FN20" i="5"/>
  <c r="FM20" i="5"/>
  <c r="FL20" i="5"/>
  <c r="FK20" i="5"/>
  <c r="FJ20" i="5"/>
  <c r="FI20" i="5"/>
  <c r="FH20" i="5"/>
  <c r="FG20" i="5"/>
  <c r="FF20" i="5"/>
  <c r="FE20" i="5"/>
  <c r="FD20" i="5"/>
  <c r="FC20" i="5"/>
  <c r="FB20" i="5"/>
  <c r="FA20" i="5"/>
  <c r="EZ20" i="5"/>
  <c r="EY20" i="5"/>
  <c r="EX20" i="5"/>
  <c r="EW20" i="5"/>
  <c r="EV20" i="5"/>
  <c r="EU20" i="5"/>
  <c r="ET20" i="5"/>
  <c r="ES20" i="5"/>
  <c r="ER20" i="5"/>
  <c r="EQ20" i="5"/>
  <c r="EP20" i="5"/>
  <c r="EO20" i="5"/>
  <c r="EN20" i="5"/>
  <c r="EM20" i="5"/>
  <c r="EL20" i="5"/>
  <c r="EK20" i="5"/>
  <c r="EJ20" i="5"/>
  <c r="EI20" i="5"/>
  <c r="EH20" i="5"/>
  <c r="EG20" i="5"/>
  <c r="EF20" i="5"/>
  <c r="EE20" i="5"/>
  <c r="ED20" i="5"/>
  <c r="EC20" i="5"/>
  <c r="EB20" i="5"/>
  <c r="EA20" i="5"/>
  <c r="DZ20" i="5"/>
  <c r="DY20" i="5"/>
  <c r="DX20" i="5"/>
  <c r="DW20" i="5"/>
  <c r="DV20" i="5"/>
  <c r="DU20" i="5"/>
  <c r="DT20" i="5"/>
  <c r="DS20" i="5"/>
  <c r="DR20" i="5"/>
  <c r="DQ20" i="5"/>
  <c r="DP20" i="5"/>
  <c r="DO20" i="5"/>
  <c r="DN20" i="5"/>
  <c r="DM20" i="5"/>
  <c r="DL20" i="5"/>
  <c r="DK20" i="5"/>
  <c r="DJ20" i="5"/>
  <c r="DI20" i="5"/>
  <c r="DH20" i="5"/>
  <c r="DG20" i="5"/>
  <c r="DF20" i="5"/>
  <c r="DE20" i="5"/>
  <c r="FX19" i="5"/>
  <c r="FW19" i="5"/>
  <c r="FV19" i="5"/>
  <c r="FU19" i="5"/>
  <c r="EU2" i="5"/>
  <c r="ET2" i="5"/>
  <c r="ES2" i="5"/>
  <c r="ER2" i="5"/>
  <c r="FP19" i="5"/>
  <c r="FO19" i="5"/>
  <c r="FN19" i="5"/>
  <c r="FM19" i="5"/>
  <c r="FL19" i="5"/>
  <c r="FK19" i="5"/>
  <c r="FJ19" i="5"/>
  <c r="FI19" i="5"/>
  <c r="EQ2" i="5"/>
  <c r="EP2" i="5"/>
  <c r="EO2" i="5"/>
  <c r="EN2" i="5"/>
  <c r="FD19" i="5"/>
  <c r="FC19" i="5"/>
  <c r="FB19" i="5"/>
  <c r="FA19" i="5"/>
  <c r="EZ19" i="5"/>
  <c r="EY19" i="5"/>
  <c r="EX19" i="5"/>
  <c r="EW19" i="5"/>
  <c r="EM2" i="5"/>
  <c r="EL2" i="5"/>
  <c r="EK2" i="5"/>
  <c r="EJ2" i="5"/>
  <c r="ER19" i="5"/>
  <c r="EQ19" i="5"/>
  <c r="EP19" i="5"/>
  <c r="EO19" i="5"/>
  <c r="EN19" i="5"/>
  <c r="EM19" i="5"/>
  <c r="EL19" i="5"/>
  <c r="EK19" i="5"/>
  <c r="EI2" i="5"/>
  <c r="EH2" i="5"/>
  <c r="EG2" i="5"/>
  <c r="EF2" i="5"/>
  <c r="EF19" i="5"/>
  <c r="EE19" i="5"/>
  <c r="ED19" i="5"/>
  <c r="EC19" i="5"/>
  <c r="EB19" i="5"/>
  <c r="EA19" i="5"/>
  <c r="DZ19" i="5"/>
  <c r="DY19" i="5"/>
  <c r="EE2" i="5"/>
  <c r="ED2" i="5"/>
  <c r="EC2" i="5"/>
  <c r="HC15" i="5"/>
  <c r="HB15" i="5"/>
  <c r="HA15" i="5"/>
  <c r="GZ15" i="5"/>
  <c r="GY15" i="5"/>
  <c r="GX15" i="5"/>
  <c r="GW15" i="5"/>
  <c r="GV15" i="5"/>
  <c r="GU15" i="5"/>
  <c r="GT15" i="5"/>
  <c r="GS15" i="5"/>
  <c r="GR15" i="5"/>
  <c r="GQ15" i="5"/>
  <c r="GP15" i="5"/>
  <c r="GO15" i="5"/>
  <c r="GN15" i="5"/>
  <c r="GM15" i="5"/>
  <c r="GL15" i="5"/>
  <c r="GK15" i="5"/>
  <c r="JD14" i="5"/>
  <c r="JC14" i="5"/>
  <c r="JB14" i="5"/>
  <c r="JA14" i="5"/>
  <c r="IZ14" i="5"/>
  <c r="IY14" i="5"/>
  <c r="IV14" i="5"/>
  <c r="IT14" i="5"/>
  <c r="IR14" i="5"/>
  <c r="IP14" i="5"/>
  <c r="IN14" i="5"/>
  <c r="IL14" i="5"/>
  <c r="HM14" i="5"/>
  <c r="HJ14" i="5"/>
  <c r="HI14" i="5"/>
  <c r="HE14" i="5"/>
  <c r="HC14" i="5"/>
  <c r="HA14" i="5"/>
  <c r="GZ14" i="5"/>
  <c r="GX14" i="5"/>
  <c r="GV14" i="5"/>
  <c r="GT14" i="5"/>
  <c r="GQ14" i="5"/>
  <c r="GN14" i="5"/>
  <c r="GL14" i="5"/>
  <c r="GI14" i="5"/>
  <c r="GG14" i="5"/>
  <c r="JC13" i="5"/>
  <c r="JA13" i="5"/>
  <c r="IY13" i="5"/>
  <c r="IW13" i="5"/>
  <c r="IU13" i="5"/>
  <c r="IR13" i="5"/>
  <c r="IP13" i="5"/>
  <c r="IN13" i="5"/>
  <c r="IJ13" i="5"/>
  <c r="IH13" i="5"/>
  <c r="IE13" i="5"/>
  <c r="IC13" i="5"/>
  <c r="HZ13" i="5"/>
  <c r="HY13" i="5"/>
  <c r="HV13" i="5"/>
  <c r="HT13" i="5"/>
  <c r="HR13" i="5"/>
  <c r="HP13" i="5"/>
  <c r="HN13" i="5"/>
  <c r="HL13" i="5"/>
  <c r="HJ13" i="5"/>
  <c r="HH13" i="5"/>
  <c r="HF13" i="5"/>
  <c r="HD13" i="5"/>
  <c r="HB13" i="5"/>
  <c r="GZ13" i="5"/>
  <c r="GX13" i="5"/>
  <c r="GV13" i="5"/>
  <c r="GS13" i="5"/>
  <c r="GQ13" i="5"/>
  <c r="GO13" i="5"/>
  <c r="GM13" i="5"/>
  <c r="GK13" i="5"/>
  <c r="GI13" i="5"/>
  <c r="GF13" i="5"/>
  <c r="JD12" i="5"/>
  <c r="JB12" i="5"/>
  <c r="IZ12" i="5"/>
  <c r="IX12" i="5"/>
  <c r="IV12" i="5"/>
  <c r="IT12" i="5"/>
  <c r="IR12" i="5"/>
  <c r="IQ12" i="5"/>
  <c r="IP12" i="5"/>
  <c r="IN12" i="5"/>
  <c r="IK12" i="5"/>
  <c r="II12" i="5"/>
  <c r="IG12" i="5"/>
  <c r="IE12" i="5"/>
  <c r="IC12" i="5"/>
  <c r="IA12" i="5"/>
  <c r="HY12" i="5"/>
  <c r="HW12" i="5"/>
  <c r="HU12" i="5"/>
  <c r="HS12" i="5"/>
  <c r="HQ12" i="5"/>
  <c r="HO12" i="5"/>
  <c r="HN12" i="5"/>
  <c r="HL12" i="5"/>
  <c r="HJ12" i="5"/>
  <c r="HG12" i="5"/>
  <c r="HE12" i="5"/>
  <c r="HC12" i="5"/>
  <c r="HB12" i="5"/>
  <c r="GZ12" i="5"/>
  <c r="GX12" i="5"/>
  <c r="GU12" i="5"/>
  <c r="GS12" i="5"/>
  <c r="GQ12" i="5"/>
  <c r="GO12" i="5"/>
  <c r="GL12" i="5"/>
  <c r="GK12" i="5"/>
  <c r="GI12" i="5"/>
  <c r="GG12" i="5"/>
  <c r="JD11" i="5"/>
  <c r="JB11" i="5"/>
  <c r="IX11" i="5"/>
  <c r="IV11" i="5"/>
  <c r="HE2" i="5"/>
  <c r="IR11" i="5"/>
  <c r="IP11" i="5"/>
  <c r="IN11" i="5"/>
  <c r="IL11" i="5"/>
  <c r="IJ11" i="5"/>
  <c r="IH11" i="5"/>
  <c r="HC2" i="5"/>
  <c r="HA2" i="5"/>
  <c r="IC11" i="5"/>
  <c r="IA11" i="5"/>
  <c r="HY11" i="5"/>
  <c r="HW11" i="5"/>
  <c r="HU11" i="5"/>
  <c r="GY2" i="5"/>
  <c r="GW2" i="5"/>
  <c r="HO11" i="5"/>
  <c r="HM11" i="5"/>
  <c r="HK11" i="5"/>
  <c r="HI11" i="5"/>
  <c r="HG11" i="5"/>
  <c r="HE11" i="5"/>
  <c r="HC11" i="5"/>
  <c r="HA11" i="5"/>
  <c r="GY11" i="5"/>
  <c r="GT2" i="5"/>
  <c r="GU11" i="5"/>
  <c r="GS11" i="5"/>
  <c r="GQ11" i="5"/>
  <c r="GO11" i="5"/>
  <c r="GM11" i="5"/>
  <c r="GK11" i="5"/>
  <c r="GR2" i="5"/>
  <c r="GG11" i="5"/>
  <c r="JC10" i="5"/>
  <c r="JA10" i="5"/>
  <c r="IY10" i="5"/>
  <c r="IW10" i="5"/>
  <c r="IV10" i="5"/>
  <c r="GP2" i="5"/>
  <c r="IR10" i="5"/>
  <c r="IP10" i="5"/>
  <c r="IN10" i="5"/>
  <c r="IL10" i="5"/>
  <c r="II10" i="5"/>
  <c r="GN2" i="5"/>
  <c r="GL2" i="5"/>
  <c r="IC10" i="5"/>
  <c r="IB10" i="5"/>
  <c r="HZ10" i="5"/>
  <c r="HX10" i="5"/>
  <c r="HV10" i="5"/>
  <c r="HT10" i="5"/>
  <c r="GJ2" i="5"/>
  <c r="HP10" i="5"/>
  <c r="HN10" i="5"/>
  <c r="HJ10" i="5"/>
  <c r="HH10" i="5"/>
  <c r="HE10" i="5"/>
  <c r="HC10" i="5"/>
  <c r="GZ10" i="5"/>
  <c r="GY10" i="5"/>
  <c r="GH2" i="5"/>
  <c r="GT10" i="5"/>
  <c r="GR10" i="5"/>
  <c r="GO10" i="5"/>
  <c r="GM10" i="5"/>
  <c r="GK10" i="5"/>
  <c r="GG2" i="5"/>
  <c r="GG10" i="5"/>
  <c r="JC9" i="5"/>
  <c r="JA9" i="5"/>
  <c r="IX9" i="5"/>
  <c r="IV9" i="5"/>
  <c r="IS9" i="5"/>
  <c r="IP9" i="5"/>
  <c r="IM9" i="5"/>
  <c r="IK9" i="5"/>
  <c r="II9" i="5"/>
  <c r="IG9" i="5"/>
  <c r="IE9" i="5"/>
  <c r="IC9" i="5"/>
  <c r="IB9" i="5"/>
  <c r="HZ9" i="5"/>
  <c r="HX9" i="5"/>
  <c r="HV9" i="5"/>
  <c r="HT9" i="5"/>
  <c r="HR9" i="5"/>
  <c r="HO9" i="5"/>
  <c r="HM9" i="5"/>
  <c r="HK9" i="5"/>
  <c r="HI9" i="5"/>
  <c r="HG9" i="5"/>
  <c r="HE9" i="5"/>
  <c r="HC9" i="5"/>
  <c r="HA9" i="5"/>
  <c r="GY9" i="5"/>
  <c r="GW9" i="5"/>
  <c r="GV9" i="5"/>
  <c r="GT9" i="5"/>
  <c r="HU20" i="5"/>
  <c r="HT20" i="5"/>
  <c r="HS20" i="5"/>
  <c r="HR20" i="5"/>
  <c r="HQ20" i="5"/>
  <c r="HP20" i="5"/>
  <c r="HO20" i="5"/>
  <c r="HN20" i="5"/>
  <c r="HM20" i="5"/>
  <c r="HL20" i="5"/>
  <c r="HK20" i="5"/>
  <c r="HJ20" i="5"/>
  <c r="HI20" i="5"/>
  <c r="HH20" i="5"/>
  <c r="HG20" i="5"/>
  <c r="HF20" i="5"/>
  <c r="HE20" i="5"/>
  <c r="HD20" i="5"/>
  <c r="HC20" i="5"/>
  <c r="HB20" i="5"/>
  <c r="HA20" i="5"/>
  <c r="GZ20" i="5"/>
  <c r="GY20" i="5"/>
  <c r="GX20" i="5"/>
  <c r="GW20" i="5"/>
  <c r="GV20" i="5"/>
  <c r="GU20" i="5"/>
  <c r="GT20" i="5"/>
  <c r="GS20" i="5"/>
  <c r="GR20" i="5"/>
  <c r="GQ20" i="5"/>
  <c r="GP20" i="5"/>
  <c r="GO20" i="5"/>
  <c r="GN20" i="5"/>
  <c r="GM20" i="5"/>
  <c r="GL20" i="5"/>
  <c r="GK20" i="5"/>
  <c r="JD19" i="5"/>
  <c r="JC19" i="5"/>
  <c r="JB19" i="5"/>
  <c r="JA19" i="5"/>
  <c r="IV19" i="5"/>
  <c r="IU19" i="5"/>
  <c r="IT19" i="5"/>
  <c r="IS19" i="5"/>
  <c r="IR19" i="5"/>
  <c r="IQ19" i="5"/>
  <c r="IP19" i="5"/>
  <c r="IO19" i="5"/>
  <c r="IJ19" i="5"/>
  <c r="II19" i="5"/>
  <c r="IH19" i="5"/>
  <c r="IG19" i="5"/>
  <c r="IF19" i="5"/>
  <c r="IE19" i="5"/>
  <c r="ID19" i="5"/>
  <c r="IC19" i="5"/>
  <c r="HX19" i="5"/>
  <c r="HG19" i="5"/>
  <c r="HE19" i="5"/>
  <c r="GS19" i="5"/>
  <c r="GM19" i="5"/>
  <c r="GK19" i="5"/>
  <c r="JC18" i="5"/>
  <c r="IU18" i="5"/>
  <c r="IR18" i="5"/>
  <c r="IP18" i="5"/>
  <c r="IJ18" i="5"/>
  <c r="IH18" i="5"/>
  <c r="IF18" i="5"/>
  <c r="ID18" i="5"/>
  <c r="HX18" i="5"/>
  <c r="HV18" i="5"/>
  <c r="HT18" i="5"/>
  <c r="HS18" i="5"/>
  <c r="HR18" i="5"/>
  <c r="HL18" i="5"/>
  <c r="HK18" i="5"/>
  <c r="HJ18" i="5"/>
  <c r="HI18" i="5"/>
  <c r="HH18" i="5"/>
  <c r="HG18" i="5"/>
  <c r="HF18" i="5"/>
  <c r="HE18" i="5"/>
  <c r="GZ18" i="5"/>
  <c r="GY18" i="5"/>
  <c r="GX18" i="5"/>
  <c r="GW18" i="5"/>
  <c r="GV18" i="5"/>
  <c r="GU18" i="5"/>
  <c r="GT18" i="5"/>
  <c r="GS18" i="5"/>
  <c r="GN18" i="5"/>
  <c r="GL18" i="5"/>
  <c r="JD17" i="5"/>
  <c r="JB17" i="5"/>
  <c r="IZ17" i="5"/>
  <c r="IX17" i="5"/>
  <c r="IV17" i="5"/>
  <c r="IT17" i="5"/>
  <c r="IQ17" i="5"/>
  <c r="IO17" i="5"/>
  <c r="IN17" i="5"/>
  <c r="IM17" i="5"/>
  <c r="IL17" i="5"/>
  <c r="IK17" i="5"/>
  <c r="IJ17" i="5"/>
  <c r="II17" i="5"/>
  <c r="IG17" i="5"/>
  <c r="IF17" i="5"/>
  <c r="ID17" i="5"/>
  <c r="IB17" i="5"/>
  <c r="HZ17" i="5"/>
  <c r="HX17" i="5"/>
  <c r="HV17" i="5"/>
  <c r="HT17" i="5"/>
  <c r="HR17" i="5"/>
  <c r="HP17" i="5"/>
  <c r="HN17" i="5"/>
  <c r="HK17" i="5"/>
  <c r="HH17" i="5"/>
  <c r="HF17" i="5"/>
  <c r="HE17" i="5"/>
  <c r="HC17" i="5"/>
  <c r="HA17" i="5"/>
  <c r="GY17" i="5"/>
  <c r="GW17" i="5"/>
  <c r="GU17" i="5"/>
  <c r="GS17" i="5"/>
  <c r="GQ17" i="5"/>
  <c r="GP17" i="5"/>
  <c r="GO17" i="5"/>
  <c r="GN17" i="5"/>
  <c r="GM17" i="5"/>
  <c r="GK17" i="5"/>
  <c r="JC16" i="5"/>
  <c r="JA16" i="5"/>
  <c r="IY16" i="5"/>
  <c r="IW16" i="5"/>
  <c r="IU16" i="5"/>
  <c r="IS16" i="5"/>
  <c r="IQ16" i="5"/>
  <c r="IO16" i="5"/>
  <c r="IM16" i="5"/>
  <c r="IK16" i="5"/>
  <c r="II16" i="5"/>
  <c r="IG16" i="5"/>
  <c r="IE16" i="5"/>
  <c r="IC16" i="5"/>
  <c r="IA16" i="5"/>
  <c r="HY16" i="5"/>
  <c r="HW16" i="5"/>
  <c r="HU16" i="5"/>
  <c r="HS16" i="5"/>
  <c r="HQ16" i="5"/>
  <c r="HO16" i="5"/>
  <c r="HM16" i="5"/>
  <c r="HK16" i="5"/>
  <c r="HI16" i="5"/>
  <c r="HH16" i="5"/>
  <c r="HF16" i="5"/>
  <c r="HD16" i="5"/>
  <c r="HB16" i="5"/>
  <c r="GZ16" i="5"/>
  <c r="GX16" i="5"/>
  <c r="GV16" i="5"/>
  <c r="GT16" i="5"/>
  <c r="GR16" i="5"/>
  <c r="GP16" i="5"/>
  <c r="GN16" i="5"/>
  <c r="GL16" i="5"/>
  <c r="JC15" i="5"/>
  <c r="JA15" i="5"/>
  <c r="IY15" i="5"/>
  <c r="IW15" i="5"/>
  <c r="IT15" i="5"/>
  <c r="IR15" i="5"/>
  <c r="IP15" i="5"/>
  <c r="IN15" i="5"/>
  <c r="IL15" i="5"/>
  <c r="IJ15" i="5"/>
  <c r="IH15" i="5"/>
  <c r="IG15" i="5"/>
  <c r="IE15" i="5"/>
  <c r="IC15" i="5"/>
  <c r="IB15" i="5"/>
  <c r="HZ15" i="5"/>
  <c r="HX15" i="5"/>
  <c r="HU15" i="5"/>
  <c r="HS15" i="5"/>
  <c r="IX14" i="5"/>
  <c r="IW14" i="5"/>
  <c r="IU14" i="5"/>
  <c r="IS14" i="5"/>
  <c r="IQ14" i="5"/>
  <c r="IO14" i="5"/>
  <c r="IM14" i="5"/>
  <c r="IK14" i="5"/>
  <c r="IJ14" i="5"/>
  <c r="II14" i="5"/>
  <c r="IH14" i="5"/>
  <c r="IG14" i="5"/>
  <c r="IF14" i="5"/>
  <c r="IE14" i="5"/>
  <c r="ID14" i="5"/>
  <c r="IC14" i="5"/>
  <c r="IB14" i="5"/>
  <c r="IA14" i="5"/>
  <c r="HZ14" i="5"/>
  <c r="HY14" i="5"/>
  <c r="HX14" i="5"/>
  <c r="HW14" i="5"/>
  <c r="HV14" i="5"/>
  <c r="HU14" i="5"/>
  <c r="HT14" i="5"/>
  <c r="HS14" i="5"/>
  <c r="HR14" i="5"/>
  <c r="HQ14" i="5"/>
  <c r="HP14" i="5"/>
  <c r="HO14" i="5"/>
  <c r="HN14" i="5"/>
  <c r="HL14" i="5"/>
  <c r="HK14" i="5"/>
  <c r="HH14" i="5"/>
  <c r="HG14" i="5"/>
  <c r="HF14" i="5"/>
  <c r="HD14" i="5"/>
  <c r="HB14" i="5"/>
  <c r="GY14" i="5"/>
  <c r="GW14" i="5"/>
  <c r="GU14" i="5"/>
  <c r="GS14" i="5"/>
  <c r="GR14" i="5"/>
  <c r="GP14" i="5"/>
  <c r="GO14" i="5"/>
  <c r="GM14" i="5"/>
  <c r="GK14" i="5"/>
  <c r="GJ14" i="5"/>
  <c r="GH14" i="5"/>
  <c r="GF14" i="5"/>
  <c r="JD13" i="5"/>
  <c r="JB13" i="5"/>
  <c r="IZ13" i="5"/>
  <c r="IX13" i="5"/>
  <c r="IV13" i="5"/>
  <c r="IT13" i="5"/>
  <c r="IS13" i="5"/>
  <c r="IQ13" i="5"/>
  <c r="IO13" i="5"/>
  <c r="IM13" i="5"/>
  <c r="IL13" i="5"/>
  <c r="IK13" i="5"/>
  <c r="II13" i="5"/>
  <c r="IG13" i="5"/>
  <c r="IF13" i="5"/>
  <c r="ID13" i="5"/>
  <c r="IB13" i="5"/>
  <c r="IA13" i="5"/>
  <c r="HX13" i="5"/>
  <c r="HW13" i="5"/>
  <c r="HU13" i="5"/>
  <c r="HS13" i="5"/>
  <c r="HQ13" i="5"/>
  <c r="HO13" i="5"/>
  <c r="HM13" i="5"/>
  <c r="HK13" i="5"/>
  <c r="HI13" i="5"/>
  <c r="HG13" i="5"/>
  <c r="HE13" i="5"/>
  <c r="HC13" i="5"/>
  <c r="HA13" i="5"/>
  <c r="GY13" i="5"/>
  <c r="GW13" i="5"/>
  <c r="GU13" i="5"/>
  <c r="GT13" i="5"/>
  <c r="GR13" i="5"/>
  <c r="GP13" i="5"/>
  <c r="GN13" i="5"/>
  <c r="GL13" i="5"/>
  <c r="GJ13" i="5"/>
  <c r="GH13" i="5"/>
  <c r="GG13" i="5"/>
  <c r="JC12" i="5"/>
  <c r="JA12" i="5"/>
  <c r="IY12" i="5"/>
  <c r="IW12" i="5"/>
  <c r="IU12" i="5"/>
  <c r="IS12" i="5"/>
  <c r="IO12" i="5"/>
  <c r="IM12" i="5"/>
  <c r="IL12" i="5"/>
  <c r="IJ12" i="5"/>
  <c r="IH12" i="5"/>
  <c r="IF12" i="5"/>
  <c r="ID12" i="5"/>
  <c r="IB12" i="5"/>
  <c r="HZ12" i="5"/>
  <c r="HX12" i="5"/>
  <c r="HV12" i="5"/>
  <c r="HO19" i="5" l="1"/>
  <c r="GP19" i="5"/>
  <c r="IM18" i="5"/>
  <c r="HO18" i="5"/>
  <c r="IT11" i="5"/>
  <c r="GW11" i="5"/>
  <c r="GI10" i="5"/>
  <c r="HP18" i="5"/>
  <c r="IM19" i="5"/>
  <c r="IX18" i="5"/>
  <c r="GH11" i="5"/>
  <c r="IU10" i="5"/>
  <c r="IL18" i="5"/>
  <c r="HY19" i="5"/>
  <c r="CM19" i="5"/>
  <c r="BY19" i="5"/>
  <c r="CH11" i="5"/>
  <c r="BT10" i="5"/>
  <c r="BN18" i="5"/>
  <c r="BF10" i="5"/>
  <c r="BB18" i="5"/>
  <c r="X10" i="5"/>
  <c r="GR19" i="5"/>
  <c r="IK18" i="5"/>
  <c r="GQ18" i="5"/>
  <c r="IX19" i="5"/>
  <c r="GX10" i="5"/>
  <c r="IB19" i="5"/>
  <c r="GJ11" i="5"/>
  <c r="HA18" i="5"/>
  <c r="IS10" i="5"/>
  <c r="HZ19" i="5"/>
  <c r="CN19" i="5"/>
  <c r="BZ18" i="5"/>
  <c r="BU10" i="5"/>
  <c r="BD18" i="5"/>
  <c r="AP19" i="5"/>
  <c r="AL10" i="5"/>
  <c r="AK11" i="5"/>
  <c r="FQ19" i="5"/>
  <c r="FG19" i="5"/>
  <c r="FF19" i="5"/>
  <c r="EU19" i="5"/>
  <c r="EJ19" i="5"/>
  <c r="EH19" i="5"/>
  <c r="EG19" i="5"/>
  <c r="DV19" i="5"/>
  <c r="DI19" i="5"/>
  <c r="FE18" i="5"/>
  <c r="EU18" i="5"/>
  <c r="ES18" i="5"/>
  <c r="EI18" i="5"/>
  <c r="DW18" i="5"/>
  <c r="DV18" i="5"/>
  <c r="EL10" i="5"/>
  <c r="FM11" i="5"/>
  <c r="DC10" i="5"/>
  <c r="EZ11" i="5"/>
  <c r="EM11" i="5"/>
  <c r="EK11" i="5"/>
  <c r="FN10" i="5"/>
  <c r="FM10" i="5"/>
  <c r="DR10" i="5"/>
  <c r="DQ10" i="5"/>
  <c r="DC11" i="5"/>
  <c r="BY18" i="5"/>
  <c r="CG11" i="5"/>
  <c r="BM18" i="5"/>
  <c r="BO19" i="5"/>
  <c r="AJ11" i="5"/>
  <c r="AD18" i="5"/>
  <c r="W10" i="5"/>
  <c r="BO18" i="5"/>
  <c r="BG10" i="5"/>
  <c r="BC18" i="5"/>
  <c r="AK10" i="5"/>
  <c r="AC18" i="5"/>
  <c r="HA19" i="5"/>
  <c r="GP18" i="5"/>
  <c r="HQ11" i="5"/>
  <c r="HR10" i="5"/>
  <c r="IF10" i="5"/>
  <c r="HZ18" i="5"/>
  <c r="IW19" i="5"/>
  <c r="HM18" i="5"/>
  <c r="IN19" i="5"/>
  <c r="GH10" i="5"/>
  <c r="HB18" i="5"/>
  <c r="IU11" i="5"/>
  <c r="CK19" i="5"/>
  <c r="CA18" i="5"/>
  <c r="CI10" i="5"/>
  <c r="BU11" i="5"/>
  <c r="BE10" i="5"/>
  <c r="BA18" i="5"/>
  <c r="BB19" i="5"/>
  <c r="AO18" i="5"/>
  <c r="AF19" i="5"/>
  <c r="HP19" i="5"/>
  <c r="HM19" i="5"/>
  <c r="HB19" i="5"/>
  <c r="HY18" i="5"/>
  <c r="GO18" i="5"/>
  <c r="GI11" i="5"/>
  <c r="IE10" i="5"/>
  <c r="IY19" i="5"/>
  <c r="HS10" i="5"/>
  <c r="HC19" i="5"/>
  <c r="HR11" i="5"/>
  <c r="GO19" i="5"/>
  <c r="IL19" i="5"/>
  <c r="IZ18" i="5"/>
  <c r="GV11" i="5"/>
  <c r="HC18" i="5"/>
  <c r="IN18" i="5"/>
  <c r="CL19" i="5"/>
  <c r="BZ19" i="5"/>
  <c r="BT11" i="5"/>
  <c r="BG11" i="5"/>
  <c r="AR18" i="5"/>
  <c r="FT19" i="5"/>
  <c r="FR19" i="5"/>
  <c r="EV19" i="5"/>
  <c r="EI19" i="5"/>
  <c r="DW19" i="5"/>
  <c r="DJ19" i="5"/>
  <c r="FT18" i="5"/>
  <c r="FR18" i="5"/>
  <c r="FQ18" i="5"/>
  <c r="FH18" i="5"/>
  <c r="FF18" i="5"/>
  <c r="ET18" i="5"/>
  <c r="EJ18" i="5"/>
  <c r="EG18" i="5"/>
  <c r="DU18" i="5"/>
  <c r="DK18" i="5"/>
  <c r="DJ18" i="5"/>
  <c r="EM10" i="5"/>
  <c r="EK10" i="5"/>
  <c r="EY11" i="5"/>
  <c r="FN11" i="5"/>
  <c r="FA10" i="5"/>
  <c r="EY10" i="5"/>
  <c r="DR11" i="5"/>
  <c r="DQ11" i="5"/>
  <c r="DP10" i="5"/>
  <c r="DD11" i="5"/>
  <c r="CB18" i="5"/>
  <c r="BS10" i="5"/>
  <c r="AL11" i="5"/>
  <c r="AD19" i="5"/>
  <c r="CK18" i="5"/>
  <c r="BS11" i="5"/>
  <c r="BN19" i="5"/>
  <c r="BA19" i="5"/>
  <c r="AP18" i="5"/>
  <c r="AQ18" i="5"/>
  <c r="AF18" i="5"/>
  <c r="HD19" i="5"/>
  <c r="IG11" i="5"/>
  <c r="IG10" i="5"/>
  <c r="IB18" i="5"/>
  <c r="HQ10" i="5"/>
  <c r="GX11" i="5"/>
  <c r="IK19" i="5"/>
  <c r="IA19" i="5"/>
  <c r="CN18" i="5"/>
  <c r="CB19" i="5"/>
  <c r="CI11" i="5"/>
  <c r="BE11" i="5"/>
  <c r="AQ19" i="5"/>
  <c r="AJ10" i="5"/>
  <c r="AC19" i="5"/>
  <c r="V10" i="5"/>
  <c r="HN19" i="5"/>
  <c r="IY18" i="5"/>
  <c r="IA18" i="5"/>
  <c r="GR18" i="5"/>
  <c r="IE11" i="5"/>
  <c r="HS11" i="5"/>
  <c r="IT10" i="5"/>
  <c r="GV10" i="5"/>
  <c r="IZ19" i="5"/>
  <c r="IF11" i="5"/>
  <c r="GQ19" i="5"/>
  <c r="HN18" i="5"/>
  <c r="GW10" i="5"/>
  <c r="GJ10" i="5"/>
  <c r="IW18" i="5"/>
  <c r="HD18" i="5"/>
  <c r="IS11" i="5"/>
  <c r="CL18" i="5"/>
  <c r="CH10" i="5"/>
  <c r="BM19" i="5"/>
  <c r="BC19" i="5"/>
  <c r="AR19" i="5"/>
  <c r="AE19" i="5"/>
  <c r="FS19" i="5"/>
  <c r="FH19" i="5"/>
  <c r="FE19" i="5"/>
  <c r="ET19" i="5"/>
  <c r="ES19" i="5"/>
  <c r="DX19" i="5"/>
  <c r="DU19" i="5"/>
  <c r="DL19" i="5"/>
  <c r="DK19" i="5"/>
  <c r="FS18" i="5"/>
  <c r="FG18" i="5"/>
  <c r="EV18" i="5"/>
  <c r="EH18" i="5"/>
  <c r="DX18" i="5"/>
  <c r="DL18" i="5"/>
  <c r="DI18" i="5"/>
  <c r="DB11" i="5"/>
  <c r="DP11" i="5"/>
  <c r="FO11" i="5"/>
  <c r="DD10" i="5"/>
  <c r="DB10" i="5"/>
  <c r="FA11" i="5"/>
  <c r="EZ10" i="5"/>
  <c r="EL11" i="5"/>
  <c r="FO10" i="5"/>
  <c r="CM18" i="5"/>
  <c r="BP19" i="5"/>
  <c r="AE18" i="5"/>
  <c r="V11" i="5"/>
  <c r="CA19" i="5"/>
  <c r="CG10" i="5"/>
  <c r="BP18" i="5"/>
  <c r="BF11" i="5"/>
  <c r="BD19" i="5"/>
  <c r="AO19" i="5"/>
  <c r="X11" i="5"/>
  <c r="W11" i="5"/>
  <c r="GJ22" i="5"/>
  <c r="GI22" i="5"/>
  <c r="GH22" i="5"/>
  <c r="GG22" i="5"/>
  <c r="GF22" i="5"/>
  <c r="GE22" i="5"/>
  <c r="GD22" i="5"/>
  <c r="GC22" i="5"/>
  <c r="GB22" i="5"/>
  <c r="GA22" i="5"/>
  <c r="FZ22" i="5"/>
  <c r="FY22" i="5"/>
  <c r="GI19" i="5"/>
  <c r="FZ3" i="5"/>
  <c r="GE2" i="5"/>
  <c r="GA19" i="5"/>
  <c r="FY19" i="5"/>
  <c r="GJ18" i="5"/>
  <c r="GH18" i="5"/>
  <c r="GG18" i="5"/>
  <c r="GD2" i="5"/>
  <c r="GB2" i="5"/>
  <c r="FZ2" i="5"/>
  <c r="GC15" i="5"/>
  <c r="GA18" i="5"/>
  <c r="FY18" i="5"/>
  <c r="GJ17" i="5"/>
  <c r="GH17" i="5"/>
  <c r="GE17" i="5"/>
  <c r="GC17" i="5"/>
  <c r="GA17" i="5"/>
  <c r="FZ17" i="5"/>
  <c r="GJ16" i="5"/>
  <c r="GI16" i="5"/>
  <c r="GG16" i="5"/>
  <c r="GE16" i="5"/>
  <c r="GC16" i="5"/>
  <c r="GA16" i="5"/>
  <c r="FZ16" i="5"/>
  <c r="GJ15" i="5"/>
  <c r="GI15" i="5"/>
  <c r="GH15" i="5"/>
  <c r="GG15" i="5"/>
  <c r="GF15" i="5"/>
  <c r="GE15" i="5"/>
  <c r="GD15" i="5"/>
  <c r="FY2" i="5"/>
  <c r="GB15" i="5"/>
  <c r="GA15" i="5"/>
  <c r="FZ15" i="5"/>
  <c r="FY15" i="5"/>
  <c r="GE14" i="5"/>
  <c r="GC14" i="5"/>
  <c r="GA14" i="5"/>
  <c r="FY14" i="5"/>
  <c r="GD13" i="5"/>
  <c r="GB13" i="5"/>
  <c r="FZ13" i="5"/>
  <c r="GE12" i="5"/>
  <c r="GB12" i="5"/>
  <c r="FZ12" i="5"/>
  <c r="GE11" i="5"/>
  <c r="GC11" i="5"/>
  <c r="GA11" i="5"/>
  <c r="FY11" i="5"/>
  <c r="GE10" i="5"/>
  <c r="GC10" i="5"/>
  <c r="GA10" i="5"/>
  <c r="FY10" i="5"/>
  <c r="GE9" i="5"/>
  <c r="GC9" i="5"/>
  <c r="GB9" i="5"/>
  <c r="FZ9" i="5"/>
  <c r="GC8" i="5"/>
  <c r="GA8" i="5"/>
  <c r="FY8" i="5"/>
  <c r="GE7" i="5"/>
  <c r="GD7" i="5"/>
  <c r="GC7" i="5"/>
  <c r="GB7" i="5"/>
  <c r="GA7" i="5"/>
  <c r="FZ7" i="5"/>
  <c r="FY7" i="5"/>
  <c r="GE6" i="5"/>
  <c r="GC6" i="5"/>
  <c r="GA6" i="5"/>
  <c r="FY6" i="5"/>
  <c r="GD5" i="5"/>
  <c r="GA5" i="5"/>
  <c r="FY5" i="5"/>
  <c r="GE4" i="5"/>
  <c r="GC4" i="5"/>
  <c r="GA4" i="5"/>
  <c r="FY4" i="5"/>
  <c r="GE3" i="5"/>
  <c r="GC3" i="5"/>
  <c r="GA3" i="5"/>
  <c r="FY3" i="5"/>
  <c r="GC2" i="5"/>
  <c r="GA2" i="5"/>
  <c r="GJ21" i="5"/>
  <c r="GI21" i="5"/>
  <c r="GH21" i="5"/>
  <c r="GG21" i="5"/>
  <c r="GF21" i="5"/>
  <c r="GE21" i="5"/>
  <c r="GD21" i="5"/>
  <c r="GC21" i="5"/>
  <c r="GB21" i="5"/>
  <c r="GA21" i="5"/>
  <c r="FZ21" i="5"/>
  <c r="FY21" i="5"/>
  <c r="GJ20" i="5"/>
  <c r="GI20" i="5"/>
  <c r="GH20" i="5"/>
  <c r="GG20" i="5"/>
  <c r="GF20" i="5"/>
  <c r="GE20" i="5"/>
  <c r="GD20" i="5"/>
  <c r="GC20" i="5"/>
  <c r="GB20" i="5"/>
  <c r="GA20" i="5"/>
  <c r="FZ20" i="5"/>
  <c r="FY20" i="5"/>
  <c r="GJ19" i="5"/>
  <c r="GH19" i="5"/>
  <c r="GG19" i="5"/>
  <c r="GB19" i="5"/>
  <c r="FZ19" i="5"/>
  <c r="GI18" i="5"/>
  <c r="GB18" i="5"/>
  <c r="FZ18" i="5"/>
  <c r="GI17" i="5"/>
  <c r="GG17" i="5"/>
  <c r="GF17" i="5"/>
  <c r="GD17" i="5"/>
  <c r="GB17" i="5"/>
  <c r="FY17" i="5"/>
  <c r="GH16" i="5"/>
  <c r="GF16" i="5"/>
  <c r="GD16" i="5"/>
  <c r="GB16" i="5"/>
  <c r="FY16" i="5"/>
  <c r="GD14" i="5"/>
  <c r="GB14" i="5"/>
  <c r="FZ14" i="5"/>
  <c r="GE13" i="5"/>
  <c r="GC13" i="5"/>
  <c r="GA13" i="5"/>
  <c r="FY13" i="5"/>
  <c r="GD12" i="5"/>
  <c r="GC12" i="5"/>
  <c r="GA12" i="5"/>
  <c r="FY12" i="5"/>
  <c r="GD11" i="5"/>
  <c r="GB11" i="5"/>
  <c r="FZ11" i="5"/>
  <c r="GD10" i="5"/>
  <c r="GB10" i="5"/>
  <c r="FZ10" i="5"/>
  <c r="GD9" i="5"/>
  <c r="GA9" i="5"/>
  <c r="FY9" i="5"/>
  <c r="GE8" i="5"/>
  <c r="GD8" i="5"/>
  <c r="GB8" i="5"/>
  <c r="FZ8" i="5"/>
  <c r="GD6" i="5"/>
  <c r="GB6" i="5"/>
  <c r="FZ6" i="5"/>
  <c r="GE5" i="5"/>
  <c r="GC5" i="5"/>
  <c r="GB5" i="5"/>
  <c r="FZ5" i="5"/>
  <c r="GD4" i="5"/>
  <c r="GB4" i="5"/>
  <c r="FZ4" i="5"/>
  <c r="GD3" i="5"/>
  <c r="GB3" i="5"/>
  <c r="DD22" i="5"/>
  <c r="DC22" i="5"/>
  <c r="DB22" i="5"/>
  <c r="DA22" i="5"/>
  <c r="CZ22" i="5"/>
  <c r="CY22" i="5"/>
  <c r="CX22" i="5"/>
  <c r="CW22" i="5"/>
  <c r="CV22" i="5"/>
  <c r="CU22" i="5"/>
  <c r="CT22" i="5"/>
  <c r="CS22" i="5"/>
  <c r="DD21" i="5"/>
  <c r="DC21" i="5"/>
  <c r="DB21" i="5"/>
  <c r="DA21" i="5"/>
  <c r="CZ21" i="5"/>
  <c r="CY21" i="5"/>
  <c r="CX21" i="5"/>
  <c r="CW21" i="5"/>
  <c r="CV21" i="5"/>
  <c r="CU21" i="5"/>
  <c r="CT21" i="5"/>
  <c r="CS21" i="5"/>
  <c r="DD20" i="5"/>
  <c r="DC20" i="5"/>
  <c r="DB20" i="5"/>
  <c r="DA20" i="5"/>
  <c r="CZ20" i="5"/>
  <c r="CY20" i="5"/>
  <c r="CX20" i="5"/>
  <c r="CW20" i="5"/>
  <c r="CV20" i="5"/>
  <c r="CU20" i="5"/>
  <c r="CT20" i="5"/>
  <c r="CS20" i="5"/>
  <c r="DD19" i="5"/>
  <c r="DC19" i="5"/>
  <c r="DB19" i="5"/>
  <c r="DA19" i="5"/>
  <c r="CS3" i="5"/>
  <c r="CY2" i="5"/>
  <c r="CX2" i="5"/>
  <c r="CW2" i="5"/>
  <c r="CV19" i="5"/>
  <c r="CU19" i="5"/>
  <c r="CT19" i="5"/>
  <c r="CS19" i="5"/>
  <c r="DD18" i="5"/>
  <c r="DC18" i="5"/>
  <c r="DB18" i="5"/>
  <c r="DA18" i="5"/>
  <c r="CV2" i="5"/>
  <c r="CU2" i="5"/>
  <c r="CT2" i="5"/>
  <c r="CS2" i="5"/>
  <c r="CV18" i="5"/>
  <c r="CU18" i="5"/>
  <c r="CT18" i="5"/>
  <c r="CS18" i="5"/>
  <c r="DD17" i="5"/>
  <c r="DC17" i="5"/>
  <c r="DB17" i="5"/>
  <c r="DA17" i="5"/>
  <c r="CZ17" i="5"/>
  <c r="CY17" i="5"/>
  <c r="CX17" i="5"/>
  <c r="CW17" i="5"/>
  <c r="CV17" i="5"/>
  <c r="CU17" i="5"/>
  <c r="CT17" i="5"/>
  <c r="CS17" i="5"/>
  <c r="DD16" i="5"/>
  <c r="DC16" i="5"/>
  <c r="DB16" i="5"/>
  <c r="DA16" i="5"/>
  <c r="CZ16" i="5"/>
  <c r="CY16" i="5"/>
  <c r="CX16" i="5"/>
  <c r="CW16" i="5"/>
  <c r="CV16" i="5"/>
  <c r="CU16" i="5"/>
  <c r="CT16" i="5"/>
  <c r="CS16" i="5"/>
  <c r="DD15" i="5"/>
  <c r="DC15" i="5"/>
  <c r="DB15" i="5"/>
  <c r="DA15" i="5"/>
  <c r="CZ15" i="5"/>
  <c r="CY15" i="5"/>
  <c r="CX15" i="5"/>
  <c r="CW15" i="5"/>
  <c r="CV15" i="5"/>
  <c r="CU15" i="5"/>
  <c r="CT15" i="5"/>
  <c r="CS15" i="5"/>
  <c r="CY14" i="5"/>
  <c r="CX14" i="5"/>
  <c r="CW14" i="5"/>
  <c r="CV14" i="5"/>
  <c r="CU14" i="5"/>
  <c r="CT14" i="5"/>
  <c r="CS14" i="5"/>
  <c r="CY13" i="5"/>
  <c r="CX13" i="5"/>
  <c r="CW13" i="5"/>
  <c r="CV13" i="5"/>
  <c r="CU13" i="5"/>
  <c r="CT13" i="5"/>
  <c r="CS13" i="5"/>
  <c r="CY12" i="5"/>
  <c r="CX12" i="5"/>
  <c r="CW12" i="5"/>
  <c r="CV12" i="5"/>
  <c r="CU12" i="5"/>
  <c r="CT12" i="5"/>
  <c r="CS12" i="5"/>
  <c r="CY11" i="5"/>
  <c r="CX11" i="5"/>
  <c r="CW11" i="5"/>
  <c r="CV11" i="5"/>
  <c r="CU11" i="5"/>
  <c r="CT11" i="5"/>
  <c r="CS11" i="5"/>
  <c r="CY10" i="5"/>
  <c r="CX10" i="5"/>
  <c r="CW10" i="5"/>
  <c r="CV10" i="5"/>
  <c r="CU10" i="5"/>
  <c r="CT10" i="5"/>
  <c r="CS10" i="5"/>
  <c r="CY9" i="5"/>
  <c r="CX9" i="5"/>
  <c r="CW9" i="5"/>
  <c r="CV9" i="5"/>
  <c r="CU9" i="5"/>
  <c r="CT9" i="5"/>
  <c r="CS9" i="5"/>
  <c r="CY8" i="5"/>
  <c r="CX8" i="5"/>
  <c r="CW8" i="5"/>
  <c r="CV8" i="5"/>
  <c r="CU8" i="5"/>
  <c r="CT8" i="5"/>
  <c r="CS8" i="5"/>
  <c r="CY7" i="5"/>
  <c r="CX7" i="5"/>
  <c r="CW7" i="5"/>
  <c r="CV7" i="5"/>
  <c r="CU7" i="5"/>
  <c r="CT7" i="5"/>
  <c r="CS7" i="5"/>
  <c r="CY6" i="5"/>
  <c r="CX6" i="5"/>
  <c r="CW6" i="5"/>
  <c r="CV6" i="5"/>
  <c r="CU6" i="5"/>
  <c r="CT6" i="5"/>
  <c r="CS6" i="5"/>
  <c r="CY5" i="5"/>
  <c r="CX5" i="5"/>
  <c r="CW5" i="5"/>
  <c r="CV5" i="5"/>
  <c r="CU5" i="5"/>
  <c r="CT5" i="5"/>
  <c r="CS5" i="5"/>
  <c r="CY4" i="5"/>
  <c r="CX4" i="5"/>
  <c r="CW4" i="5"/>
  <c r="CV4" i="5"/>
  <c r="CU4" i="5"/>
  <c r="CT4" i="5"/>
  <c r="CS4" i="5"/>
  <c r="CY3" i="5"/>
  <c r="CX3" i="5"/>
  <c r="CW3" i="5"/>
  <c r="CV3" i="5"/>
  <c r="CU3" i="5"/>
  <c r="CT3" i="5"/>
  <c r="M3" i="5"/>
  <c r="N3" i="5"/>
  <c r="O3" i="5"/>
  <c r="P3" i="5"/>
  <c r="Q3" i="5"/>
  <c r="R3" i="5"/>
  <c r="S3" i="5"/>
  <c r="M4" i="5"/>
  <c r="N4" i="5"/>
  <c r="O4" i="5"/>
  <c r="P4" i="5"/>
  <c r="Q4" i="5"/>
  <c r="R4" i="5"/>
  <c r="N2" i="5"/>
  <c r="O2" i="5"/>
  <c r="P2" i="5"/>
  <c r="Q2" i="5"/>
  <c r="R2" i="5"/>
  <c r="S2" i="5"/>
  <c r="S8" i="5"/>
  <c r="M9" i="5"/>
  <c r="N9" i="5"/>
  <c r="O9" i="5"/>
  <c r="P9" i="5"/>
  <c r="Q9" i="5"/>
  <c r="R9" i="5"/>
  <c r="S9" i="5"/>
  <c r="M10" i="5"/>
  <c r="N10" i="5"/>
  <c r="O10" i="5"/>
  <c r="P10" i="5"/>
  <c r="Q10" i="5"/>
  <c r="R10" i="5"/>
  <c r="S10" i="5"/>
  <c r="M11" i="5"/>
  <c r="N11" i="5"/>
  <c r="O11" i="5"/>
  <c r="P11" i="5"/>
  <c r="Q11" i="5"/>
  <c r="R11" i="5"/>
  <c r="S11" i="5"/>
  <c r="M12" i="5"/>
  <c r="N12" i="5"/>
  <c r="O12" i="5"/>
  <c r="P12" i="5"/>
  <c r="Q12" i="5"/>
  <c r="R12" i="5"/>
  <c r="S12" i="5"/>
  <c r="M13" i="5"/>
  <c r="N13" i="5"/>
  <c r="O13" i="5"/>
  <c r="P13" i="5"/>
  <c r="Q13" i="5"/>
  <c r="R13" i="5"/>
  <c r="S13" i="5"/>
  <c r="M14" i="5"/>
  <c r="N14" i="5"/>
  <c r="O14" i="5"/>
  <c r="P14" i="5"/>
  <c r="Q14" i="5"/>
  <c r="R14" i="5"/>
  <c r="S14" i="5"/>
  <c r="M15" i="5"/>
  <c r="N15" i="5"/>
  <c r="O15" i="5"/>
  <c r="P15" i="5"/>
  <c r="Q15" i="5"/>
  <c r="R15" i="5"/>
  <c r="M16" i="5"/>
  <c r="N16" i="5"/>
  <c r="O16" i="5"/>
  <c r="P16" i="5"/>
  <c r="Q16" i="5"/>
  <c r="R16" i="5"/>
  <c r="M17" i="5"/>
  <c r="N17" i="5"/>
  <c r="O17" i="5"/>
  <c r="P17" i="5"/>
  <c r="Q17" i="5"/>
  <c r="R17" i="5"/>
  <c r="M18" i="5"/>
  <c r="N18" i="5"/>
  <c r="O18" i="5"/>
  <c r="M19" i="5"/>
  <c r="N19" i="5"/>
  <c r="O19" i="5"/>
  <c r="M20" i="5"/>
  <c r="N20" i="5"/>
  <c r="O20" i="5"/>
  <c r="P20" i="5"/>
  <c r="Q20" i="5"/>
  <c r="R20" i="5"/>
  <c r="M21" i="5"/>
  <c r="N21" i="5"/>
  <c r="O21" i="5"/>
  <c r="P21" i="5"/>
  <c r="Q21" i="5"/>
  <c r="R21" i="5"/>
  <c r="M22" i="5"/>
  <c r="N22" i="5"/>
  <c r="O22" i="5"/>
  <c r="P22" i="5"/>
  <c r="Q22" i="5"/>
  <c r="R22" i="5"/>
  <c r="V16" i="5"/>
  <c r="X16" i="5"/>
  <c r="S17" i="5"/>
  <c r="T17" i="5"/>
  <c r="U17" i="5"/>
  <c r="V17" i="5"/>
  <c r="W17" i="5"/>
  <c r="U18" i="5"/>
  <c r="V18" i="5"/>
  <c r="W18" i="5"/>
  <c r="U19" i="5"/>
  <c r="W19" i="5"/>
  <c r="S20" i="5"/>
  <c r="T20" i="5"/>
  <c r="W20" i="5"/>
  <c r="U21" i="5"/>
  <c r="W21" i="5"/>
  <c r="S22" i="5"/>
  <c r="T22" i="5"/>
  <c r="V22" i="5"/>
  <c r="W22" i="5"/>
  <c r="X15" i="5"/>
  <c r="T21" i="5"/>
  <c r="U20" i="5"/>
  <c r="V19" i="5"/>
  <c r="X18" i="5"/>
  <c r="U16" i="5"/>
  <c r="P19" i="5"/>
  <c r="U15" i="5"/>
  <c r="O8" i="5"/>
  <c r="S7" i="5"/>
  <c r="O7" i="5"/>
  <c r="S6" i="5"/>
  <c r="P6" i="5"/>
  <c r="S5" i="5"/>
  <c r="P5" i="5"/>
  <c r="S4" i="5"/>
  <c r="V15" i="5"/>
  <c r="U22" i="5"/>
  <c r="V21" i="5"/>
  <c r="S21" i="5"/>
  <c r="V20" i="5"/>
  <c r="W16" i="5"/>
  <c r="P18" i="5"/>
  <c r="S15" i="5"/>
  <c r="R8" i="5"/>
  <c r="P8" i="5"/>
  <c r="N8" i="5"/>
  <c r="R7" i="5"/>
  <c r="P7" i="5"/>
  <c r="N7" i="5"/>
  <c r="R6" i="5"/>
  <c r="M6" i="5"/>
  <c r="Q5" i="5"/>
  <c r="N5" i="5"/>
  <c r="T16" i="5"/>
  <c r="X22" i="5"/>
  <c r="X21" i="5"/>
  <c r="X20" i="5"/>
  <c r="X19" i="5"/>
  <c r="X17" i="5"/>
  <c r="S16" i="5"/>
  <c r="W15" i="5"/>
  <c r="T15" i="5"/>
  <c r="M2" i="5"/>
  <c r="Q8" i="5"/>
  <c r="M8" i="5"/>
  <c r="Q7" i="5"/>
  <c r="M7" i="5"/>
  <c r="Q6" i="5"/>
  <c r="O6" i="5"/>
  <c r="N6" i="5"/>
  <c r="R5" i="5"/>
  <c r="O5" i="5"/>
  <c r="M5" i="5"/>
  <c r="CZ19" i="5" l="1"/>
  <c r="CY19" i="5"/>
  <c r="CX19" i="5"/>
  <c r="CW19" i="5"/>
  <c r="CZ18" i="5"/>
  <c r="CY18" i="5"/>
  <c r="CX18" i="5"/>
  <c r="CW18" i="5"/>
  <c r="R18" i="5"/>
  <c r="R19" i="5"/>
  <c r="S19" i="5"/>
  <c r="Q19" i="5"/>
  <c r="Q18" i="5"/>
  <c r="S18" i="5"/>
  <c r="T18" i="5"/>
  <c r="T19" i="5"/>
  <c r="GF19" i="5"/>
  <c r="GC19" i="5"/>
  <c r="GF18" i="5"/>
  <c r="GE18" i="5"/>
  <c r="GD18" i="5"/>
  <c r="GC18" i="5"/>
  <c r="GE19" i="5"/>
  <c r="GD19"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<sst xmlns="http://schemas.openxmlformats.org/spreadsheetml/2006/main" count="1235" uniqueCount="529">
  <si>
    <t>NoteDefinitions</t>
    <phoneticPr fontId="1"/>
  </si>
  <si>
    <t>NoteName</t>
  </si>
  <si>
    <t>BaseDegree</t>
  </si>
  <si>
    <t>SemitonePosition</t>
  </si>
  <si>
    <t>AccidentalValue</t>
  </si>
  <si>
    <t>C</t>
  </si>
  <si>
    <t>C#</t>
  </si>
  <si>
    <t>Db</t>
  </si>
  <si>
    <t>D</t>
  </si>
  <si>
    <t>D#</t>
  </si>
  <si>
    <t>Eb</t>
  </si>
  <si>
    <t>E</t>
  </si>
  <si>
    <t>F</t>
  </si>
  <si>
    <t>F#</t>
  </si>
  <si>
    <t>Gb</t>
  </si>
  <si>
    <t>G</t>
  </si>
  <si>
    <t>G#</t>
  </si>
  <si>
    <t>Ab</t>
  </si>
  <si>
    <t>A</t>
  </si>
  <si>
    <t>A#</t>
  </si>
  <si>
    <t>Bb</t>
  </si>
  <si>
    <t>B</t>
  </si>
  <si>
    <t>Cb</t>
  </si>
  <si>
    <t>B#</t>
  </si>
  <si>
    <t>E#</t>
  </si>
  <si>
    <t>Fb</t>
  </si>
  <si>
    <t>C##</t>
  </si>
  <si>
    <t>D##</t>
  </si>
  <si>
    <t>F##</t>
  </si>
  <si>
    <t>G##</t>
  </si>
  <si>
    <t>A##</t>
  </si>
  <si>
    <t>Bbb</t>
  </si>
  <si>
    <t>Ebb</t>
  </si>
  <si>
    <t>IntervalID</t>
  </si>
  <si>
    <t>IntervalName</t>
  </si>
  <si>
    <t>DeltaSemitone</t>
  </si>
  <si>
    <t>DeltaDegree</t>
  </si>
  <si>
    <t>RomanNumeralBase</t>
  </si>
  <si>
    <t>P1</t>
  </si>
  <si>
    <t>Perfect 1st</t>
  </si>
  <si>
    <t>I</t>
  </si>
  <si>
    <t>m2</t>
  </si>
  <si>
    <t>Minor 2nd</t>
  </si>
  <si>
    <t>bII</t>
  </si>
  <si>
    <t>M2</t>
  </si>
  <si>
    <t>Major 2nd</t>
  </si>
  <si>
    <t>II</t>
  </si>
  <si>
    <t>m3</t>
  </si>
  <si>
    <t>Minor 3rd</t>
  </si>
  <si>
    <t>bIII</t>
  </si>
  <si>
    <t>M3</t>
  </si>
  <si>
    <t>Major 3rd</t>
  </si>
  <si>
    <t>III</t>
  </si>
  <si>
    <t>P4</t>
  </si>
  <si>
    <t>Perfect 4th</t>
  </si>
  <si>
    <t>IV</t>
  </si>
  <si>
    <t>A4</t>
  </si>
  <si>
    <t>Augmented 4th</t>
  </si>
  <si>
    <t>#IV</t>
  </si>
  <si>
    <t>d5</t>
  </si>
  <si>
    <t>Diminished 5th</t>
  </si>
  <si>
    <t>bV</t>
  </si>
  <si>
    <t>P5</t>
  </si>
  <si>
    <t>Perfect 5th</t>
  </si>
  <si>
    <t>V</t>
  </si>
  <si>
    <t>A5</t>
  </si>
  <si>
    <t>Augmented 5th</t>
  </si>
  <si>
    <t>#V</t>
  </si>
  <si>
    <t>m6</t>
  </si>
  <si>
    <t>Minor 6th</t>
  </si>
  <si>
    <t>bVI</t>
  </si>
  <si>
    <t>M6</t>
  </si>
  <si>
    <t>Major 6th</t>
  </si>
  <si>
    <t>VI</t>
  </si>
  <si>
    <t>d7</t>
  </si>
  <si>
    <t>Diminished 7th</t>
  </si>
  <si>
    <t>bbVII</t>
  </si>
  <si>
    <t>m7</t>
  </si>
  <si>
    <t>Minor 7th</t>
  </si>
  <si>
    <t>bVII</t>
  </si>
  <si>
    <t>M7</t>
  </si>
  <si>
    <t>Major 7th</t>
  </si>
  <si>
    <t>VII</t>
  </si>
  <si>
    <t>P8</t>
  </si>
  <si>
    <t>Perfect 8th</t>
  </si>
  <si>
    <t>b9</t>
  </si>
  <si>
    <t>Minor 9th</t>
  </si>
  <si>
    <t>Major 9th</t>
  </si>
  <si>
    <t>#9</t>
  </si>
  <si>
    <t>Augmented 9th</t>
  </si>
  <si>
    <t>Perfect 11th</t>
  </si>
  <si>
    <t>#11</t>
  </si>
  <si>
    <t>Augmented 11th</t>
  </si>
  <si>
    <t>b13</t>
  </si>
  <si>
    <t>Minor 13th</t>
  </si>
  <si>
    <t>Major 13th</t>
  </si>
  <si>
    <t>IntervalDefinitions</t>
    <phoneticPr fontId="1"/>
  </si>
  <si>
    <t>ChordDefinitions</t>
    <phoneticPr fontId="1"/>
  </si>
  <si>
    <t>ChordSymbol</t>
  </si>
  <si>
    <t>IntervalsStructure</t>
  </si>
  <si>
    <t>GuideToneIntervals</t>
  </si>
  <si>
    <t>RomanSuffix</t>
  </si>
  <si>
    <t>Major</t>
  </si>
  <si>
    <t>P1, M3, P5</t>
  </si>
  <si>
    <t>m</t>
  </si>
  <si>
    <t>P1, m3, P5</t>
  </si>
  <si>
    <t>dim</t>
  </si>
  <si>
    <t>P1, m3, d5</t>
  </si>
  <si>
    <t>m3, d5</t>
  </si>
  <si>
    <t>aug</t>
  </si>
  <si>
    <t>P1, M3, A5</t>
  </si>
  <si>
    <t>M3, A5</t>
  </si>
  <si>
    <t>sus4</t>
  </si>
  <si>
    <t>P1, P4, P5</t>
  </si>
  <si>
    <t>P1, M3, P5, M7</t>
  </si>
  <si>
    <t>M3, M7</t>
  </si>
  <si>
    <t>P1, M3, P5, M6</t>
  </si>
  <si>
    <t>M3, M6</t>
  </si>
  <si>
    <t>P1, M3, P5, M7, 9</t>
  </si>
  <si>
    <t>M3, M7, 9</t>
  </si>
  <si>
    <t>P1, M3, P5, M6, 9</t>
  </si>
  <si>
    <t>M3, M6, 9</t>
  </si>
  <si>
    <t>P1, M3, P5, M7, #11</t>
  </si>
  <si>
    <t>M3, M7, #11</t>
  </si>
  <si>
    <t>P1, M3, P5, M7, 9, 13</t>
  </si>
  <si>
    <t>M3, M7, 13</t>
  </si>
  <si>
    <t>P1, m3, P5, m7</t>
  </si>
  <si>
    <t>m3, m7</t>
  </si>
  <si>
    <t>P1, m3, P5, M6</t>
  </si>
  <si>
    <t>m3, M6</t>
  </si>
  <si>
    <t>m9</t>
  </si>
  <si>
    <t>P1, m3, P5, m7, 9</t>
  </si>
  <si>
    <t>m3, m7, 9</t>
  </si>
  <si>
    <t>m11</t>
  </si>
  <si>
    <t>P1, m3, P5, m7, 9, 11</t>
  </si>
  <si>
    <t>m3, m7, 11</t>
  </si>
  <si>
    <t>P1, m3, P5, M7</t>
  </si>
  <si>
    <t>m3, M7</t>
  </si>
  <si>
    <t>m7b5</t>
  </si>
  <si>
    <t>P1, m3, d5, m7</t>
  </si>
  <si>
    <t>dim7</t>
  </si>
  <si>
    <t>P1, m3, d5, d7</t>
  </si>
  <si>
    <t>m3, d7</t>
  </si>
  <si>
    <t>P1, M3, P5, m7</t>
  </si>
  <si>
    <t>M3, m7</t>
  </si>
  <si>
    <t>P1, M3, P5, m7, 9</t>
  </si>
  <si>
    <t>M3, m7, 9</t>
  </si>
  <si>
    <t>P1, M3, P5, m7, 9, 13</t>
  </si>
  <si>
    <t>M3, m7, 13</t>
  </si>
  <si>
    <t>7sus4</t>
  </si>
  <si>
    <t>P1, P4, P5, m7</t>
  </si>
  <si>
    <t>P4, m7</t>
  </si>
  <si>
    <t>7b9</t>
  </si>
  <si>
    <t>P1, M3, P5, m7, b9</t>
  </si>
  <si>
    <t>M3, m7, b9</t>
  </si>
  <si>
    <t>7#9</t>
  </si>
  <si>
    <t>P1, M3, P5, m7, #9</t>
  </si>
  <si>
    <t>M3, m7, #9</t>
  </si>
  <si>
    <t>7#11</t>
  </si>
  <si>
    <t>P1, M3, P5, m7, #11</t>
  </si>
  <si>
    <t>M3, m7, #11</t>
  </si>
  <si>
    <t>7b13</t>
  </si>
  <si>
    <t>P1, M3, P5, m7, b13</t>
  </si>
  <si>
    <t>M3, m7, b13</t>
  </si>
  <si>
    <t>7alt</t>
  </si>
  <si>
    <t>P1, M3, d5, m7, b9, #9, b13</t>
  </si>
  <si>
    <t>9</t>
  </si>
  <si>
    <t>11</t>
  </si>
  <si>
    <t>13</t>
  </si>
  <si>
    <t>6</t>
  </si>
  <si>
    <t>69</t>
  </si>
  <si>
    <t>7</t>
  </si>
  <si>
    <t>ScaleDefinitions</t>
    <phoneticPr fontId="1"/>
  </si>
  <si>
    <t>ScaleName</t>
  </si>
  <si>
    <t>AvoidNoteIntervals</t>
  </si>
  <si>
    <t>Ionian</t>
  </si>
  <si>
    <t>P1, M2, M3, P4, P5, M6, M7</t>
  </si>
  <si>
    <t>Dorian</t>
  </si>
  <si>
    <t>P1, M2, m3, P4, P5, M6, m7</t>
  </si>
  <si>
    <t>Phrygian</t>
  </si>
  <si>
    <t>P1, m2, m3, P4, P5, m6, m7</t>
  </si>
  <si>
    <t>m2, m6</t>
  </si>
  <si>
    <t>Lydian</t>
  </si>
  <si>
    <t>P1, M2, M3, A4, P5, M6, M7</t>
  </si>
  <si>
    <t>Mixolydian</t>
  </si>
  <si>
    <t>P1, M2, M3, P4, P5, M6, m7</t>
  </si>
  <si>
    <t>Aeolian</t>
  </si>
  <si>
    <t>P1, M2, m3, P4, P5, m6, m7</t>
  </si>
  <si>
    <t>Locrian</t>
  </si>
  <si>
    <t>P1, m2, m3, P4, d5, m6, m7</t>
  </si>
  <si>
    <t>Melodic Minor</t>
  </si>
  <si>
    <t>P1, M2, m3, P4, P5, M6, M7</t>
  </si>
  <si>
    <t>Dorian b2</t>
  </si>
  <si>
    <t>P1, m2, m3, P4, P5, M6, m7</t>
  </si>
  <si>
    <t>Lydian Augmented</t>
  </si>
  <si>
    <t>P1, M2, M3, A4, A5, M6, M7</t>
  </si>
  <si>
    <t>Lydian Dominant</t>
  </si>
  <si>
    <t>P1, M2, M3, A4, P5, M6, m7</t>
  </si>
  <si>
    <t>Mixolydian b6</t>
  </si>
  <si>
    <t>P1, M2, M3, P4, P5, m6, m7</t>
  </si>
  <si>
    <t>Locrian #2</t>
  </si>
  <si>
    <t>P1, M2, m3, P4, d5, m6, m7</t>
  </si>
  <si>
    <t>Altered</t>
  </si>
  <si>
    <t>P1, b9, #9, M3, #11, b13, m7</t>
  </si>
  <si>
    <t>H-W Diminished</t>
  </si>
  <si>
    <t>P1, m2, m3, M3, A4, P5, M6, m7</t>
  </si>
  <si>
    <t>W-H Diminished</t>
  </si>
  <si>
    <t>P1, M2, m3, P4, d5, m6, d7, M7</t>
  </si>
  <si>
    <t>Whole Tone</t>
  </si>
  <si>
    <t>P1, M2, M3, A4, A5, m7</t>
  </si>
  <si>
    <t>Phrygian Dominant</t>
  </si>
  <si>
    <t>P1, m2, M3, P4, P5, m6, m7</t>
  </si>
  <si>
    <t>Okinawa</t>
  </si>
  <si>
    <t>P1, M3, P4, P5, M7</t>
  </si>
  <si>
    <t>HMP5 below</t>
  </si>
  <si>
    <t>Bebop Dominant</t>
  </si>
  <si>
    <t>P1, M2, M3, P4, P5, M6, m7, M7</t>
  </si>
  <si>
    <t>Japanese (Hirajoshi)</t>
  </si>
  <si>
    <t>P1, M2, m3, P5, m6</t>
  </si>
  <si>
    <t>Japanese (Insen)</t>
  </si>
  <si>
    <t>P1, m2, P4, P5, m7</t>
  </si>
  <si>
    <t>ScaleAssignmentRules</t>
    <phoneticPr fontId="1"/>
  </si>
  <si>
    <t>KeyType</t>
  </si>
  <si>
    <t>DegreeIntervalID</t>
  </si>
  <si>
    <t>HarmonicFunction</t>
  </si>
  <si>
    <t>UsageType</t>
  </si>
  <si>
    <t>T</t>
  </si>
  <si>
    <t>Main</t>
  </si>
  <si>
    <t>Alt</t>
  </si>
  <si>
    <t>SD</t>
  </si>
  <si>
    <t>Minor</t>
  </si>
  <si>
    <t xml:space="preserve">Master Tables of Jazz Logic </t>
    <phoneticPr fontId="1"/>
  </si>
  <si>
    <t>Entity Relation Diagram of This Tool</t>
    <phoneticPr fontId="1"/>
  </si>
  <si>
    <t>Roman</t>
  </si>
  <si>
    <t>CT1</t>
  </si>
  <si>
    <t>CT2</t>
  </si>
  <si>
    <t>CT3</t>
  </si>
  <si>
    <t>CT4</t>
  </si>
  <si>
    <t>CT5</t>
  </si>
  <si>
    <t>CT6</t>
  </si>
  <si>
    <t>CT7</t>
  </si>
  <si>
    <t>CT8</t>
  </si>
  <si>
    <t>GT3</t>
  </si>
  <si>
    <t>GT7</t>
  </si>
  <si>
    <t>AN1</t>
  </si>
  <si>
    <t>AN2</t>
  </si>
  <si>
    <t>SN1</t>
  </si>
  <si>
    <t>SN2</t>
  </si>
  <si>
    <t>SN3</t>
  </si>
  <si>
    <t>SN4</t>
  </si>
  <si>
    <t>SN5</t>
  </si>
  <si>
    <t>SN6</t>
  </si>
  <si>
    <t>SN7</t>
  </si>
  <si>
    <t>SN8</t>
  </si>
  <si>
    <t>SN9</t>
  </si>
  <si>
    <t>Alt-Scale1</t>
  </si>
  <si>
    <t>Alt-Scale2</t>
  </si>
  <si>
    <t>Alt-Scale3</t>
  </si>
  <si>
    <t>Alt-Scale4</t>
  </si>
  <si>
    <t>Alt-Scale5</t>
  </si>
  <si>
    <t>wRoot</t>
    <phoneticPr fontId="1"/>
  </si>
  <si>
    <t>wQuality</t>
    <phoneticPr fontId="1"/>
  </si>
  <si>
    <t>wRootDeg</t>
    <phoneticPr fontId="1"/>
  </si>
  <si>
    <t>wRootSemi</t>
    <phoneticPr fontId="1"/>
  </si>
  <si>
    <t>wKeyRelDeg</t>
    <phoneticPr fontId="1"/>
  </si>
  <si>
    <t>M7</t>
    <phoneticPr fontId="1"/>
  </si>
  <si>
    <t>M6</t>
    <phoneticPr fontId="1"/>
  </si>
  <si>
    <t>M9</t>
  </si>
  <si>
    <t>M9</t>
    <phoneticPr fontId="1"/>
  </si>
  <si>
    <t>M69</t>
  </si>
  <si>
    <t>M69</t>
    <phoneticPr fontId="1"/>
  </si>
  <si>
    <t>M7#11</t>
  </si>
  <si>
    <t>M7#11</t>
    <phoneticPr fontId="1"/>
  </si>
  <si>
    <t>M13</t>
    <phoneticPr fontId="1"/>
  </si>
  <si>
    <t>mM7</t>
  </si>
  <si>
    <t>mM7</t>
    <phoneticPr fontId="1"/>
  </si>
  <si>
    <t/>
  </si>
  <si>
    <t>Avoid Note</t>
    <phoneticPr fontId="1"/>
  </si>
  <si>
    <t>Guide Tone</t>
    <phoneticPr fontId="1"/>
  </si>
  <si>
    <t>Perfect 4th (Enharmonic A3)</t>
  </si>
  <si>
    <t>Dbb</t>
  </si>
  <si>
    <t>Fbb</t>
  </si>
  <si>
    <t>Gbb</t>
  </si>
  <si>
    <t>Abb</t>
  </si>
  <si>
    <t>Cbb</t>
  </si>
  <si>
    <t>d4</t>
  </si>
  <si>
    <t>Diminished 4th</t>
  </si>
  <si>
    <t>bIV</t>
  </si>
  <si>
    <t>d6</t>
  </si>
  <si>
    <t>Diminished 6th</t>
  </si>
  <si>
    <t>d3</t>
  </si>
  <si>
    <t>Diminished 3rd</t>
  </si>
  <si>
    <t>bbIII</t>
  </si>
  <si>
    <t>b2</t>
  </si>
  <si>
    <t>F###</t>
  </si>
  <si>
    <t>E##</t>
  </si>
  <si>
    <t>B##</t>
  </si>
  <si>
    <t>C###</t>
  </si>
  <si>
    <t>D###</t>
  </si>
  <si>
    <t>E###</t>
  </si>
  <si>
    <t>G###</t>
  </si>
  <si>
    <t>A###</t>
  </si>
  <si>
    <t>B###</t>
  </si>
  <si>
    <t>Cbbb</t>
  </si>
  <si>
    <t>Dbbb</t>
  </si>
  <si>
    <t>Ebbb</t>
  </si>
  <si>
    <t>Fbbb</t>
  </si>
  <si>
    <t>Gbbb</t>
  </si>
  <si>
    <t>Abbb</t>
  </si>
  <si>
    <t>Bbbb</t>
  </si>
  <si>
    <t>C</t>
    <phoneticPr fontId="1"/>
  </si>
  <si>
    <t>KeyIn</t>
    <phoneticPr fontId="1"/>
  </si>
  <si>
    <t>ScaleName</t>
    <phoneticPr fontId="1"/>
  </si>
  <si>
    <t>Input</t>
    <phoneticPr fontId="1"/>
  </si>
  <si>
    <t>Output</t>
    <phoneticPr fontId="1"/>
  </si>
  <si>
    <t>Jazz Chord-Scale Calculator</t>
    <phoneticPr fontId="1"/>
  </si>
  <si>
    <t>Chord Tone</t>
    <phoneticPr fontId="1"/>
  </si>
  <si>
    <t>iChord</t>
  </si>
  <si>
    <t>iChordInC</t>
  </si>
  <si>
    <t>oChord</t>
  </si>
  <si>
    <t>Scale Tone      ': Guide / () Avoid</t>
    <phoneticPr fontId="1"/>
  </si>
  <si>
    <t>oChordInC</t>
    <phoneticPr fontId="1"/>
  </si>
  <si>
    <t>Fm7b5</t>
    <phoneticPr fontId="1"/>
  </si>
  <si>
    <t>B</t>
    <phoneticPr fontId="1"/>
  </si>
  <si>
    <t>D</t>
    <phoneticPr fontId="1"/>
  </si>
  <si>
    <t>F</t>
    <phoneticPr fontId="1"/>
  </si>
  <si>
    <t>G</t>
    <phoneticPr fontId="1"/>
  </si>
  <si>
    <t>C#</t>
    <phoneticPr fontId="1"/>
  </si>
  <si>
    <t>D#</t>
    <phoneticPr fontId="1"/>
  </si>
  <si>
    <t>E</t>
    <phoneticPr fontId="1"/>
  </si>
  <si>
    <t>F#</t>
    <phoneticPr fontId="1"/>
  </si>
  <si>
    <t>G#</t>
    <phoneticPr fontId="1"/>
  </si>
  <si>
    <t>A</t>
    <phoneticPr fontId="1"/>
  </si>
  <si>
    <t>A#</t>
    <phoneticPr fontId="1"/>
  </si>
  <si>
    <t>Current Row</t>
    <phoneticPr fontId="1"/>
  </si>
  <si>
    <t>Keyboard Calculator</t>
    <phoneticPr fontId="1"/>
  </si>
  <si>
    <t>4: Avoid Note</t>
    <phoneticPr fontId="1"/>
  </si>
  <si>
    <t>3: Guide Tone</t>
    <phoneticPr fontId="1"/>
  </si>
  <si>
    <t>2: Chord Tone</t>
    <phoneticPr fontId="1"/>
  </si>
  <si>
    <t>1: Scale Tone</t>
    <phoneticPr fontId="1"/>
  </si>
  <si>
    <t>Key</t>
    <phoneticPr fontId="1"/>
  </si>
  <si>
    <t>Code Coloring</t>
    <phoneticPr fontId="1"/>
  </si>
  <si>
    <t>Key Coloring</t>
    <phoneticPr fontId="1"/>
  </si>
  <si>
    <t>Ebm</t>
  </si>
  <si>
    <t>Ebm</t>
    <phoneticPr fontId="1"/>
  </si>
  <si>
    <t>Bbm7</t>
    <phoneticPr fontId="1"/>
  </si>
  <si>
    <t>BM7</t>
    <phoneticPr fontId="1"/>
  </si>
  <si>
    <t>Abm6</t>
    <phoneticPr fontId="1"/>
  </si>
  <si>
    <t>Ebm7</t>
    <phoneticPr fontId="1"/>
  </si>
  <si>
    <t>Abm7</t>
    <phoneticPr fontId="1"/>
  </si>
  <si>
    <t>Db7</t>
    <phoneticPr fontId="1"/>
  </si>
  <si>
    <t>GbM7</t>
    <phoneticPr fontId="1"/>
  </si>
  <si>
    <t>Bb7b9</t>
    <phoneticPr fontId="1"/>
  </si>
  <si>
    <t>5: Root</t>
    <phoneticPr fontId="1"/>
  </si>
  <si>
    <t>A1</t>
  </si>
  <si>
    <t>A2</t>
  </si>
  <si>
    <t>SortDeg</t>
    <phoneticPr fontId="1"/>
  </si>
  <si>
    <t>Remark</t>
    <phoneticPr fontId="1"/>
  </si>
  <si>
    <t>Gb</t>
    <phoneticPr fontId="1"/>
  </si>
  <si>
    <t>Jazz</t>
  </si>
  <si>
    <t>Pops</t>
  </si>
  <si>
    <t>Δ</t>
  </si>
  <si>
    <t>Δ9</t>
  </si>
  <si>
    <t>–7</t>
  </si>
  <si>
    <t>ø</t>
  </si>
  <si>
    <t>○</t>
  </si>
  <si>
    <t>○7</t>
  </si>
  <si>
    <t xml:space="preserve">Select Row &gt; Press F9 to update </t>
    <phoneticPr fontId="1"/>
  </si>
  <si>
    <t>Alt &gt; P &gt; T &gt; C to change the color theme</t>
    <phoneticPr fontId="1"/>
  </si>
  <si>
    <t xml:space="preserve">Do not copy and paste to prevent broken links. </t>
  </si>
  <si>
    <t>Please take a screenshot if you need the image.</t>
  </si>
  <si>
    <t>Sample screenshot of chords</t>
    <phoneticPr fontId="1"/>
  </si>
  <si>
    <t># JCSC (Jazz Chord-Scale Calculator)</t>
  </si>
  <si>
    <t>**The Ultimate Logic-Driven Jazz Theory Engine for Excel**</t>
  </si>
  <si>
    <t>## 🚀 Key Features</t>
  </si>
  <si>
    <t>### 1. Advanced Theoretical Logic</t>
  </si>
  <si>
    <r>
      <t>-</t>
    </r>
    <r>
      <rPr>
        <sz val="11"/>
        <color rgb="FFCCCCCC"/>
        <rFont val="Consolas"/>
        <family val="3"/>
      </rPr>
      <t xml:space="preserve"> </t>
    </r>
    <r>
      <rPr>
        <b/>
        <sz val="11"/>
        <color rgb="FF569CD6"/>
        <rFont val="Consolas"/>
        <family val="3"/>
      </rPr>
      <t>**Enharmonic Correctness:**</t>
    </r>
    <r>
      <rPr>
        <sz val="11"/>
        <color rgb="FFCCCCCC"/>
        <rFont val="Consolas"/>
        <family val="3"/>
      </rPr>
      <t xml:space="preserve"> Perfectly handles complex spellings like </t>
    </r>
    <r>
      <rPr>
        <b/>
        <sz val="11"/>
        <color rgb="FF569CD6"/>
        <rFont val="Consolas"/>
        <family val="3"/>
      </rPr>
      <t>**Double Sharps (x)**</t>
    </r>
    <r>
      <rPr>
        <sz val="11"/>
        <color rgb="FFCCCCCC"/>
        <rFont val="Consolas"/>
        <family val="3"/>
      </rPr>
      <t xml:space="preserve"> and </t>
    </r>
    <r>
      <rPr>
        <b/>
        <sz val="11"/>
        <color rgb="FF569CD6"/>
        <rFont val="Consolas"/>
        <family val="3"/>
      </rPr>
      <t>**Triple Flats (bbb)**</t>
    </r>
    <r>
      <rPr>
        <sz val="11"/>
        <color rgb="FFCCCCCC"/>
        <rFont val="Consolas"/>
        <family val="3"/>
      </rPr>
      <t>.</t>
    </r>
  </si>
  <si>
    <r>
      <t xml:space="preserve">  </t>
    </r>
    <r>
      <rPr>
        <sz val="11"/>
        <color rgb="FF6796E6"/>
        <rFont val="Consolas"/>
        <family val="3"/>
      </rPr>
      <t>-</t>
    </r>
    <r>
      <rPr>
        <sz val="11"/>
        <color rgb="FFCCCCCC"/>
        <rFont val="Consolas"/>
        <family val="3"/>
      </rPr>
      <t xml:space="preserve"> </t>
    </r>
    <r>
      <rPr>
        <i/>
        <sz val="11"/>
        <color rgb="FFCCCCCC"/>
        <rFont val="Consolas"/>
        <family val="3"/>
      </rPr>
      <t>_Example:_</t>
    </r>
    <r>
      <rPr>
        <sz val="11"/>
        <color rgb="FFCCCCCC"/>
        <rFont val="Consolas"/>
        <family val="3"/>
      </rPr>
      <t xml:space="preserve"> </t>
    </r>
    <r>
      <rPr>
        <sz val="11"/>
        <color rgb="FFCE9178"/>
        <rFont val="Consolas"/>
        <family val="3"/>
      </rPr>
      <t>`G#M7`</t>
    </r>
    <r>
      <rPr>
        <sz val="11"/>
        <color rgb="FFCCCCCC"/>
        <rFont val="Consolas"/>
        <family val="3"/>
      </rPr>
      <t xml:space="preserve"> → Major 7th is </t>
    </r>
    <r>
      <rPr>
        <sz val="11"/>
        <color rgb="FFCE9178"/>
        <rFont val="Consolas"/>
        <family val="3"/>
      </rPr>
      <t>`F##`</t>
    </r>
    <r>
      <rPr>
        <sz val="11"/>
        <color rgb="FFCCCCCC"/>
        <rFont val="Consolas"/>
        <family val="3"/>
      </rPr>
      <t xml:space="preserve"> (not G).</t>
    </r>
  </si>
  <si>
    <r>
      <t xml:space="preserve">  </t>
    </r>
    <r>
      <rPr>
        <sz val="11"/>
        <color rgb="FF6796E6"/>
        <rFont val="Consolas"/>
        <family val="3"/>
      </rPr>
      <t>-</t>
    </r>
    <r>
      <rPr>
        <sz val="11"/>
        <color rgb="FFCCCCCC"/>
        <rFont val="Consolas"/>
        <family val="3"/>
      </rPr>
      <t xml:space="preserve"> </t>
    </r>
    <r>
      <rPr>
        <i/>
        <sz val="11"/>
        <color rgb="FFCCCCCC"/>
        <rFont val="Consolas"/>
        <family val="3"/>
      </rPr>
      <t>_Example:_</t>
    </r>
    <r>
      <rPr>
        <sz val="11"/>
        <color rgb="FFCCCCCC"/>
        <rFont val="Consolas"/>
        <family val="3"/>
      </rPr>
      <t xml:space="preserve"> </t>
    </r>
    <r>
      <rPr>
        <sz val="11"/>
        <color rgb="FFCE9178"/>
        <rFont val="Consolas"/>
        <family val="3"/>
      </rPr>
      <t>`Fbdim7`</t>
    </r>
    <r>
      <rPr>
        <sz val="11"/>
        <color rgb="FFCCCCCC"/>
        <rFont val="Consolas"/>
        <family val="3"/>
      </rPr>
      <t xml:space="preserve"> → Diminished 7th is </t>
    </r>
    <r>
      <rPr>
        <sz val="11"/>
        <color rgb="FFCE9178"/>
        <rFont val="Consolas"/>
        <family val="3"/>
      </rPr>
      <t>`Ebbb`</t>
    </r>
    <r>
      <rPr>
        <sz val="11"/>
        <color rgb="FFCCCCCC"/>
        <rFont val="Consolas"/>
        <family val="3"/>
      </rPr>
      <t xml:space="preserve"> (not D).</t>
    </r>
  </si>
  <si>
    <t>### 2. Flexible Input</t>
  </si>
  <si>
    <r>
      <t>-</t>
    </r>
    <r>
      <rPr>
        <sz val="11"/>
        <color rgb="FFCCCCCC"/>
        <rFont val="Consolas"/>
        <family val="3"/>
      </rPr>
      <t xml:space="preserve"> </t>
    </r>
    <r>
      <rPr>
        <b/>
        <sz val="11"/>
        <color rgb="FF569CD6"/>
        <rFont val="Consolas"/>
        <family val="3"/>
      </rPr>
      <t>**Direct Input:**</t>
    </r>
    <r>
      <rPr>
        <sz val="11"/>
        <color rgb="FFCCCCCC"/>
        <rFont val="Consolas"/>
        <family val="3"/>
      </rPr>
      <t xml:space="preserve"> Type chord symbols directly from the lead sheet (e.g., </t>
    </r>
    <r>
      <rPr>
        <sz val="11"/>
        <color rgb="FFCE9178"/>
        <rFont val="Consolas"/>
        <family val="3"/>
      </rPr>
      <t>`Dm7`</t>
    </r>
    <r>
      <rPr>
        <sz val="11"/>
        <color rgb="FFCCCCCC"/>
        <rFont val="Consolas"/>
        <family val="3"/>
      </rPr>
      <t xml:space="preserve">, </t>
    </r>
    <r>
      <rPr>
        <sz val="11"/>
        <color rgb="FFCE9178"/>
        <rFont val="Consolas"/>
        <family val="3"/>
      </rPr>
      <t>`G7`</t>
    </r>
    <r>
      <rPr>
        <sz val="11"/>
        <color rgb="FFCCCCCC"/>
        <rFont val="Consolas"/>
        <family val="3"/>
      </rPr>
      <t>).</t>
    </r>
  </si>
  <si>
    <r>
      <t>-</t>
    </r>
    <r>
      <rPr>
        <sz val="11"/>
        <color rgb="FFCCCCCC"/>
        <rFont val="Consolas"/>
        <family val="3"/>
      </rPr>
      <t xml:space="preserve"> </t>
    </r>
    <r>
      <rPr>
        <b/>
        <sz val="11"/>
        <color rgb="FF569CD6"/>
        <rFont val="Consolas"/>
        <family val="3"/>
      </rPr>
      <t>**Relative Input:**</t>
    </r>
    <r>
      <rPr>
        <sz val="11"/>
        <color rgb="FFCCCCCC"/>
        <rFont val="Consolas"/>
        <family val="3"/>
      </rPr>
      <t xml:space="preserve"> Supports transposed input relative to C Major / A Minor (e.g., input </t>
    </r>
    <r>
      <rPr>
        <sz val="11"/>
        <color rgb="FFCE9178"/>
        <rFont val="Consolas"/>
        <family val="3"/>
      </rPr>
      <t>`Fm7`</t>
    </r>
    <r>
      <rPr>
        <sz val="11"/>
        <color rgb="FFCCCCCC"/>
        <rFont val="Consolas"/>
        <family val="3"/>
      </rPr>
      <t xml:space="preserve"> in Key C to represent IVm7).</t>
    </r>
  </si>
  <si>
    <r>
      <t>-</t>
    </r>
    <r>
      <rPr>
        <sz val="11"/>
        <color rgb="FFCCCCCC"/>
        <rFont val="Consolas"/>
        <family val="3"/>
      </rPr>
      <t xml:space="preserve"> </t>
    </r>
    <r>
      <rPr>
        <b/>
        <sz val="11"/>
        <color rgb="FF569CD6"/>
        <rFont val="Consolas"/>
        <family val="3"/>
      </rPr>
      <t>**Auto-Correction:**</t>
    </r>
    <r>
      <rPr>
        <sz val="11"/>
        <color rgb="FFCCCCCC"/>
        <rFont val="Consolas"/>
        <family val="3"/>
      </rPr>
      <t xml:space="preserve"> Automatically detects inconsistencies between input modes.</t>
    </r>
  </si>
  <si>
    <t>### 3. Comprehensive Output</t>
  </si>
  <si>
    <r>
      <t>-</t>
    </r>
    <r>
      <rPr>
        <sz val="11"/>
        <color rgb="FFCCCCCC"/>
        <rFont val="Consolas"/>
        <family val="3"/>
      </rPr>
      <t xml:space="preserve"> </t>
    </r>
    <r>
      <rPr>
        <b/>
        <sz val="11"/>
        <color rgb="FF569CD6"/>
        <rFont val="Consolas"/>
        <family val="3"/>
      </rPr>
      <t>**Chord Tones:**</t>
    </r>
    <r>
      <rPr>
        <sz val="11"/>
        <color rgb="FFCCCCCC"/>
        <rFont val="Consolas"/>
        <family val="3"/>
      </rPr>
      <t xml:space="preserve"> Root, 3rd, 5th, 7th, etc.</t>
    </r>
  </si>
  <si>
    <r>
      <t>-</t>
    </r>
    <r>
      <rPr>
        <sz val="11"/>
        <color rgb="FFCCCCCC"/>
        <rFont val="Consolas"/>
        <family val="3"/>
      </rPr>
      <t xml:space="preserve"> </t>
    </r>
    <r>
      <rPr>
        <b/>
        <sz val="11"/>
        <color rgb="FF569CD6"/>
        <rFont val="Consolas"/>
        <family val="3"/>
      </rPr>
      <t>**Guide Tones:**</t>
    </r>
    <r>
      <rPr>
        <sz val="11"/>
        <color rgb="FFCCCCCC"/>
        <rFont val="Consolas"/>
        <family val="3"/>
      </rPr>
      <t xml:space="preserve"> 3rd &amp; 7th (The core of Jazz lines).</t>
    </r>
  </si>
  <si>
    <r>
      <t>-</t>
    </r>
    <r>
      <rPr>
        <sz val="11"/>
        <color rgb="FFCCCCCC"/>
        <rFont val="Consolas"/>
        <family val="3"/>
      </rPr>
      <t xml:space="preserve"> </t>
    </r>
    <r>
      <rPr>
        <b/>
        <sz val="11"/>
        <color rgb="FF569CD6"/>
        <rFont val="Consolas"/>
        <family val="3"/>
      </rPr>
      <t>**Scale Notes:**</t>
    </r>
    <r>
      <rPr>
        <sz val="11"/>
        <color rgb="FFCCCCCC"/>
        <rFont val="Consolas"/>
        <family val="3"/>
      </rPr>
      <t xml:space="preserve"> Full scale display with visual markers for Guide Tones </t>
    </r>
    <r>
      <rPr>
        <sz val="11"/>
        <color rgb="FFCE9178"/>
        <rFont val="Consolas"/>
        <family val="3"/>
      </rPr>
      <t>`'`</t>
    </r>
    <r>
      <rPr>
        <sz val="11"/>
        <color rgb="FFCCCCCC"/>
        <rFont val="Consolas"/>
        <family val="3"/>
      </rPr>
      <t xml:space="preserve"> and Avoid Notes </t>
    </r>
    <r>
      <rPr>
        <sz val="11"/>
        <color rgb="FFCE9178"/>
        <rFont val="Consolas"/>
        <family val="3"/>
      </rPr>
      <t>`()`</t>
    </r>
    <r>
      <rPr>
        <sz val="11"/>
        <color rgb="FFCCCCCC"/>
        <rFont val="Consolas"/>
        <family val="3"/>
      </rPr>
      <t>.</t>
    </r>
  </si>
  <si>
    <r>
      <t>-</t>
    </r>
    <r>
      <rPr>
        <sz val="11"/>
        <color rgb="FFCCCCCC"/>
        <rFont val="Consolas"/>
        <family val="3"/>
      </rPr>
      <t xml:space="preserve"> </t>
    </r>
    <r>
      <rPr>
        <b/>
        <sz val="11"/>
        <color rgb="FF569CD6"/>
        <rFont val="Consolas"/>
        <family val="3"/>
      </rPr>
      <t>**Alternative Scales:**</t>
    </r>
    <r>
      <rPr>
        <sz val="11"/>
        <color rgb="FFCCCCCC"/>
        <rFont val="Consolas"/>
        <family val="3"/>
      </rPr>
      <t xml:space="preserve"> Suggests other usable scales (e.g., Whole Tone, Diminished) for reharmonization.</t>
    </r>
  </si>
  <si>
    <t>### 4. Interactive Visualization</t>
  </si>
  <si>
    <r>
      <t>-</t>
    </r>
    <r>
      <rPr>
        <sz val="11"/>
        <color rgb="FFCCCCCC"/>
        <rFont val="Consolas"/>
        <family val="3"/>
      </rPr>
      <t xml:space="preserve"> </t>
    </r>
    <r>
      <rPr>
        <b/>
        <sz val="11"/>
        <color rgb="FF569CD6"/>
        <rFont val="Consolas"/>
        <family val="3"/>
      </rPr>
      <t>**Dynamic Keyboard Display:**</t>
    </r>
    <r>
      <rPr>
        <sz val="11"/>
        <color rgb="FFCCCCCC"/>
        <rFont val="Consolas"/>
        <family val="3"/>
      </rPr>
      <t xml:space="preserve"> Visualizes the selected chord's tones on a piano keyboard interface.</t>
    </r>
  </si>
  <si>
    <r>
      <t>-</t>
    </r>
    <r>
      <rPr>
        <sz val="11"/>
        <color rgb="FFCCCCCC"/>
        <rFont val="Consolas"/>
        <family val="3"/>
      </rPr>
      <t xml:space="preserve"> </t>
    </r>
    <r>
      <rPr>
        <b/>
        <sz val="11"/>
        <color rgb="FF569CD6"/>
        <rFont val="Consolas"/>
        <family val="3"/>
      </rPr>
      <t>**Color-Coded Analysis:**</t>
    </r>
    <r>
      <rPr>
        <sz val="11"/>
        <color rgb="FFCCCCCC"/>
        <rFont val="Consolas"/>
        <family val="3"/>
      </rPr>
      <t xml:space="preserve"> Keys light up to indicate their function:</t>
    </r>
  </si>
  <si>
    <r>
      <t xml:space="preserve">  </t>
    </r>
    <r>
      <rPr>
        <sz val="11"/>
        <color rgb="FF6796E6"/>
        <rFont val="Consolas"/>
        <family val="3"/>
      </rPr>
      <t>-</t>
    </r>
    <r>
      <rPr>
        <sz val="11"/>
        <color rgb="FFCCCCCC"/>
        <rFont val="Consolas"/>
        <family val="3"/>
      </rPr>
      <t xml:space="preserve"> Root Note</t>
    </r>
  </si>
  <si>
    <r>
      <t xml:space="preserve">  </t>
    </r>
    <r>
      <rPr>
        <sz val="11"/>
        <color rgb="FF6796E6"/>
        <rFont val="Consolas"/>
        <family val="3"/>
      </rPr>
      <t>-</t>
    </r>
    <r>
      <rPr>
        <sz val="11"/>
        <color rgb="FFCCCCCC"/>
        <rFont val="Consolas"/>
        <family val="3"/>
      </rPr>
      <t xml:space="preserve"> Avoid Note</t>
    </r>
  </si>
  <si>
    <r>
      <t xml:space="preserve">  </t>
    </r>
    <r>
      <rPr>
        <sz val="11"/>
        <color rgb="FF6796E6"/>
        <rFont val="Consolas"/>
        <family val="3"/>
      </rPr>
      <t>-</t>
    </r>
    <r>
      <rPr>
        <sz val="11"/>
        <color rgb="FFCCCCCC"/>
        <rFont val="Consolas"/>
        <family val="3"/>
      </rPr>
      <t xml:space="preserve"> Guide Tone</t>
    </r>
  </si>
  <si>
    <r>
      <t xml:space="preserve">  </t>
    </r>
    <r>
      <rPr>
        <sz val="11"/>
        <color rgb="FF6796E6"/>
        <rFont val="Consolas"/>
        <family val="3"/>
      </rPr>
      <t>-</t>
    </r>
    <r>
      <rPr>
        <sz val="11"/>
        <color rgb="FFCCCCCC"/>
        <rFont val="Consolas"/>
        <family val="3"/>
      </rPr>
      <t xml:space="preserve"> Chord Tone</t>
    </r>
  </si>
  <si>
    <r>
      <t xml:space="preserve">  </t>
    </r>
    <r>
      <rPr>
        <sz val="11"/>
        <color rgb="FF6796E6"/>
        <rFont val="Consolas"/>
        <family val="3"/>
      </rPr>
      <t>-</t>
    </r>
    <r>
      <rPr>
        <sz val="11"/>
        <color rgb="FFCCCCCC"/>
        <rFont val="Consolas"/>
        <family val="3"/>
      </rPr>
      <t xml:space="preserve"> Scale Tone</t>
    </r>
  </si>
  <si>
    <r>
      <t>-</t>
    </r>
    <r>
      <rPr>
        <sz val="11"/>
        <color rgb="FFCCCCCC"/>
        <rFont val="Consolas"/>
        <family val="3"/>
      </rPr>
      <t xml:space="preserve"> </t>
    </r>
    <r>
      <rPr>
        <b/>
        <sz val="11"/>
        <color rgb="FF569CD6"/>
        <rFont val="Consolas"/>
        <family val="3"/>
      </rPr>
      <t>**Instant Updates:**</t>
    </r>
    <r>
      <rPr>
        <sz val="11"/>
        <color rgb="FFCCCCCC"/>
        <rFont val="Consolas"/>
        <family val="3"/>
      </rPr>
      <t xml:space="preserve"> Simply select a row and press </t>
    </r>
    <r>
      <rPr>
        <b/>
        <sz val="11"/>
        <color rgb="FF569CD6"/>
        <rFont val="Consolas"/>
        <family val="3"/>
      </rPr>
      <t>**F9**</t>
    </r>
    <r>
      <rPr>
        <sz val="11"/>
        <color rgb="FFCCCCCC"/>
        <rFont val="Consolas"/>
        <family val="3"/>
      </rPr>
      <t xml:space="preserve"> to instantly update the keyboard display for that specific chord.</t>
    </r>
  </si>
  <si>
    <t>## 🛠 Requirements</t>
  </si>
  <si>
    <r>
      <t>-</t>
    </r>
    <r>
      <rPr>
        <sz val="11"/>
        <color rgb="FFCCCCCC"/>
        <rFont val="Consolas"/>
        <family val="3"/>
      </rPr>
      <t xml:space="preserve"> </t>
    </r>
    <r>
      <rPr>
        <b/>
        <sz val="11"/>
        <color rgb="FF569CD6"/>
        <rFont val="Consolas"/>
        <family val="3"/>
      </rPr>
      <t>**Microsoft Excel 2021**</t>
    </r>
    <r>
      <rPr>
        <sz val="11"/>
        <color rgb="FFCCCCCC"/>
        <rFont val="Consolas"/>
        <family val="3"/>
      </rPr>
      <t xml:space="preserve"> or </t>
    </r>
    <r>
      <rPr>
        <b/>
        <sz val="11"/>
        <color rgb="FF569CD6"/>
        <rFont val="Consolas"/>
        <family val="3"/>
      </rPr>
      <t>**Microsoft 365**</t>
    </r>
  </si>
  <si>
    <r>
      <t xml:space="preserve">  </t>
    </r>
    <r>
      <rPr>
        <sz val="11"/>
        <color rgb="FF6796E6"/>
        <rFont val="Consolas"/>
        <family val="3"/>
      </rPr>
      <t>-</t>
    </r>
    <r>
      <rPr>
        <sz val="11"/>
        <color rgb="FFCCCCCC"/>
        <rFont val="Consolas"/>
        <family val="3"/>
      </rPr>
      <t xml:space="preserve"> </t>
    </r>
    <r>
      <rPr>
        <i/>
        <sz val="11"/>
        <color rgb="FFCCCCCC"/>
        <rFont val="Consolas"/>
        <family val="3"/>
      </rPr>
      <t>_Note:_</t>
    </r>
    <r>
      <rPr>
        <sz val="11"/>
        <color rgb="FFCCCCCC"/>
        <rFont val="Consolas"/>
        <family val="3"/>
      </rPr>
      <t xml:space="preserve"> This tool heavily relies on modern dynamic array functions like </t>
    </r>
    <r>
      <rPr>
        <sz val="11"/>
        <color rgb="FFCE9178"/>
        <rFont val="Consolas"/>
        <family val="3"/>
      </rPr>
      <t>`LET`</t>
    </r>
    <r>
      <rPr>
        <sz val="11"/>
        <color rgb="FFCCCCCC"/>
        <rFont val="Consolas"/>
        <family val="3"/>
      </rPr>
      <t xml:space="preserve">, </t>
    </r>
    <r>
      <rPr>
        <sz val="11"/>
        <color rgb="FFCE9178"/>
        <rFont val="Consolas"/>
        <family val="3"/>
      </rPr>
      <t>`XLOOKUP`</t>
    </r>
    <r>
      <rPr>
        <sz val="11"/>
        <color rgb="FFCCCCCC"/>
        <rFont val="Consolas"/>
        <family val="3"/>
      </rPr>
      <t xml:space="preserve">, </t>
    </r>
    <r>
      <rPr>
        <sz val="11"/>
        <color rgb="FFCE9178"/>
        <rFont val="Consolas"/>
        <family val="3"/>
      </rPr>
      <t>`TEXTSPLIT`</t>
    </r>
    <r>
      <rPr>
        <sz val="11"/>
        <color rgb="FFCCCCCC"/>
        <rFont val="Consolas"/>
        <family val="3"/>
      </rPr>
      <t xml:space="preserve">, </t>
    </r>
    <r>
      <rPr>
        <sz val="11"/>
        <color rgb="FFCE9178"/>
        <rFont val="Consolas"/>
        <family val="3"/>
      </rPr>
      <t>`LAMBDA`</t>
    </r>
    <r>
      <rPr>
        <sz val="11"/>
        <color rgb="FFCCCCCC"/>
        <rFont val="Consolas"/>
        <family val="3"/>
      </rPr>
      <t xml:space="preserve">, and </t>
    </r>
    <r>
      <rPr>
        <sz val="11"/>
        <color rgb="FFCE9178"/>
        <rFont val="Consolas"/>
        <family val="3"/>
      </rPr>
      <t>`SPILL`</t>
    </r>
    <r>
      <rPr>
        <sz val="11"/>
        <color rgb="FFCCCCCC"/>
        <rFont val="Consolas"/>
        <family val="3"/>
      </rPr>
      <t xml:space="preserve">. It will </t>
    </r>
    <r>
      <rPr>
        <b/>
        <sz val="11"/>
        <color rgb="FF569CD6"/>
        <rFont val="Consolas"/>
        <family val="3"/>
      </rPr>
      <t>**NOT**</t>
    </r>
    <r>
      <rPr>
        <sz val="11"/>
        <color rgb="FFCCCCCC"/>
        <rFont val="Consolas"/>
        <family val="3"/>
      </rPr>
      <t xml:space="preserve"> work on older versions of Excel.</t>
    </r>
  </si>
  <si>
    <t>## 📖 Usage</t>
  </si>
  <si>
    <r>
      <t>1.</t>
    </r>
    <r>
      <rPr>
        <sz val="11"/>
        <color rgb="FFCCCCCC"/>
        <rFont val="Consolas"/>
        <family val="3"/>
      </rPr>
      <t xml:space="preserve">  Open </t>
    </r>
    <r>
      <rPr>
        <sz val="11"/>
        <color rgb="FFCE9178"/>
        <rFont val="Consolas"/>
        <family val="3"/>
      </rPr>
      <t>`JCSC_v1.0.xlsx`</t>
    </r>
    <r>
      <rPr>
        <sz val="11"/>
        <color rgb="FFCCCCCC"/>
        <rFont val="Consolas"/>
        <family val="3"/>
      </rPr>
      <t>.</t>
    </r>
  </si>
  <si>
    <r>
      <t>2.</t>
    </r>
    <r>
      <rPr>
        <sz val="11"/>
        <color rgb="FFCCCCCC"/>
        <rFont val="Consolas"/>
        <family val="3"/>
      </rPr>
      <t xml:space="preserve">  Navigate to the main table.</t>
    </r>
  </si>
  <si>
    <r>
      <t>3.</t>
    </r>
    <r>
      <rPr>
        <sz val="11"/>
        <color rgb="FFCCCCCC"/>
        <rFont val="Consolas"/>
        <family val="3"/>
      </rPr>
      <t xml:space="preserve">  Fill in the columns as follows:</t>
    </r>
  </si>
  <si>
    <t>| Column        | Description                                           | Example                             |</t>
  </si>
  <si>
    <t>| :------------ | :---------------------------------------------------- | :---------------------------------- |</t>
  </si>
  <si>
    <r>
      <t xml:space="preserve">| </t>
    </r>
    <r>
      <rPr>
        <b/>
        <sz val="11"/>
        <color rgb="FF569CD6"/>
        <rFont val="Consolas"/>
        <family val="3"/>
      </rPr>
      <t>**KeyIn**</t>
    </r>
    <r>
      <rPr>
        <sz val="11"/>
        <color rgb="FFCCCCCC"/>
        <rFont val="Consolas"/>
        <family val="3"/>
      </rPr>
      <t xml:space="preserve">     | Input the Key of the song (or section).               | </t>
    </r>
    <r>
      <rPr>
        <sz val="11"/>
        <color rgb="FFCE9178"/>
        <rFont val="Consolas"/>
        <family val="3"/>
      </rPr>
      <t>`C`</t>
    </r>
    <r>
      <rPr>
        <sz val="11"/>
        <color rgb="FFCCCCCC"/>
        <rFont val="Consolas"/>
        <family val="3"/>
      </rPr>
      <t xml:space="preserve">, </t>
    </r>
    <r>
      <rPr>
        <sz val="11"/>
        <color rgb="FFCE9178"/>
        <rFont val="Consolas"/>
        <family val="3"/>
      </rPr>
      <t>`Am`</t>
    </r>
    <r>
      <rPr>
        <sz val="11"/>
        <color rgb="FFCCCCCC"/>
        <rFont val="Consolas"/>
        <family val="3"/>
      </rPr>
      <t xml:space="preserve">, </t>
    </r>
    <r>
      <rPr>
        <sz val="11"/>
        <color rgb="FFCE9178"/>
        <rFont val="Consolas"/>
        <family val="3"/>
      </rPr>
      <t>`Gb`</t>
    </r>
    <r>
      <rPr>
        <sz val="11"/>
        <color rgb="FFCCCCCC"/>
        <rFont val="Consolas"/>
        <family val="3"/>
      </rPr>
      <t xml:space="preserve">, </t>
    </r>
    <r>
      <rPr>
        <sz val="11"/>
        <color rgb="FFCE9178"/>
        <rFont val="Consolas"/>
        <family val="3"/>
      </rPr>
      <t>`F#`</t>
    </r>
    <r>
      <rPr>
        <sz val="11"/>
        <color rgb="FFCCCCCC"/>
        <rFont val="Consolas"/>
        <family val="3"/>
      </rPr>
      <t xml:space="preserve">               |</t>
    </r>
  </si>
  <si>
    <r>
      <t xml:space="preserve">| </t>
    </r>
    <r>
      <rPr>
        <b/>
        <sz val="11"/>
        <color rgb="FF569CD6"/>
        <rFont val="Consolas"/>
        <family val="3"/>
      </rPr>
      <t>**iChord**</t>
    </r>
    <r>
      <rPr>
        <sz val="11"/>
        <color rgb="FFCCCCCC"/>
        <rFont val="Consolas"/>
        <family val="3"/>
      </rPr>
      <t xml:space="preserve">    | Input the chord symbol directly.                      | </t>
    </r>
    <r>
      <rPr>
        <sz val="11"/>
        <color rgb="FFCE9178"/>
        <rFont val="Consolas"/>
        <family val="3"/>
      </rPr>
      <t>`Dm7`</t>
    </r>
    <r>
      <rPr>
        <sz val="11"/>
        <color rgb="FFCCCCCC"/>
        <rFont val="Consolas"/>
        <family val="3"/>
      </rPr>
      <t xml:space="preserve">, </t>
    </r>
    <r>
      <rPr>
        <sz val="11"/>
        <color rgb="FFCE9178"/>
        <rFont val="Consolas"/>
        <family val="3"/>
      </rPr>
      <t>`G7`</t>
    </r>
    <r>
      <rPr>
        <sz val="11"/>
        <color rgb="FFCCCCCC"/>
        <rFont val="Consolas"/>
        <family val="3"/>
      </rPr>
      <t xml:space="preserve">, </t>
    </r>
    <r>
      <rPr>
        <sz val="11"/>
        <color rgb="FFCE9178"/>
        <rFont val="Consolas"/>
        <family val="3"/>
      </rPr>
      <t>`Cmaj7`</t>
    </r>
    <r>
      <rPr>
        <sz val="11"/>
        <color rgb="FFCCCCCC"/>
        <rFont val="Consolas"/>
        <family val="3"/>
      </rPr>
      <t xml:space="preserve">                |</t>
    </r>
  </si>
  <si>
    <r>
      <t xml:space="preserve">| </t>
    </r>
    <r>
      <rPr>
        <b/>
        <sz val="11"/>
        <color rgb="FF569CD6"/>
        <rFont val="Consolas"/>
        <family val="3"/>
      </rPr>
      <t>**iChordInC**</t>
    </r>
    <r>
      <rPr>
        <sz val="11"/>
        <color rgb="FFCCCCCC"/>
        <rFont val="Consolas"/>
        <family val="3"/>
      </rPr>
      <t xml:space="preserve"> | (Optional) Input the chord relative to Key C (or Am). | </t>
    </r>
    <r>
      <rPr>
        <sz val="11"/>
        <color rgb="FFCE9178"/>
        <rFont val="Consolas"/>
        <family val="3"/>
      </rPr>
      <t>`Dm7`</t>
    </r>
    <r>
      <rPr>
        <sz val="11"/>
        <color rgb="FFCCCCCC"/>
        <rFont val="Consolas"/>
        <family val="3"/>
      </rPr>
      <t xml:space="preserve"> (when Key is Bb, meaning Cm7) |</t>
    </r>
  </si>
  <si>
    <r>
      <t>4.</t>
    </r>
    <r>
      <rPr>
        <sz val="11"/>
        <color rgb="FFCCCCCC"/>
        <rFont val="Consolas"/>
        <family val="3"/>
      </rPr>
      <t xml:space="preserve">  The tool will automatically calculate:</t>
    </r>
  </si>
  <si>
    <r>
      <t xml:space="preserve">    </t>
    </r>
    <r>
      <rPr>
        <sz val="11"/>
        <color rgb="FF6796E6"/>
        <rFont val="Consolas"/>
        <family val="3"/>
      </rPr>
      <t>-</t>
    </r>
    <r>
      <rPr>
        <sz val="11"/>
        <color rgb="FFCCCCCC"/>
        <rFont val="Consolas"/>
        <family val="3"/>
      </rPr>
      <t xml:space="preserve"> </t>
    </r>
    <r>
      <rPr>
        <b/>
        <sz val="11"/>
        <color rgb="FF569CD6"/>
        <rFont val="Consolas"/>
        <family val="3"/>
      </rPr>
      <t>**oChord:**</t>
    </r>
    <r>
      <rPr>
        <sz val="11"/>
        <color rgb="FFCCCCCC"/>
        <rFont val="Consolas"/>
        <family val="3"/>
      </rPr>
      <t xml:space="preserve"> The actual sounding chord.</t>
    </r>
  </si>
  <si>
    <r>
      <t xml:space="preserve">    </t>
    </r>
    <r>
      <rPr>
        <sz val="11"/>
        <color rgb="FF6796E6"/>
        <rFont val="Consolas"/>
        <family val="3"/>
      </rPr>
      <t>-</t>
    </r>
    <r>
      <rPr>
        <sz val="11"/>
        <color rgb="FFCCCCCC"/>
        <rFont val="Consolas"/>
        <family val="3"/>
      </rPr>
      <t xml:space="preserve"> </t>
    </r>
    <r>
      <rPr>
        <b/>
        <sz val="11"/>
        <color rgb="FF569CD6"/>
        <rFont val="Consolas"/>
        <family val="3"/>
      </rPr>
      <t>**Roman:**</t>
    </r>
    <r>
      <rPr>
        <sz val="11"/>
        <color rgb="FFCCCCCC"/>
        <rFont val="Consolas"/>
        <family val="3"/>
      </rPr>
      <t xml:space="preserve"> Degree name (e.g., </t>
    </r>
    <r>
      <rPr>
        <sz val="11"/>
        <color rgb="FFCE9178"/>
        <rFont val="Consolas"/>
        <family val="3"/>
      </rPr>
      <t>`IIm7`</t>
    </r>
    <r>
      <rPr>
        <sz val="11"/>
        <color rgb="FFCCCCCC"/>
        <rFont val="Consolas"/>
        <family val="3"/>
      </rPr>
      <t xml:space="preserve">, </t>
    </r>
    <r>
      <rPr>
        <sz val="11"/>
        <color rgb="FFCE9178"/>
        <rFont val="Consolas"/>
        <family val="3"/>
      </rPr>
      <t>`V7`</t>
    </r>
    <r>
      <rPr>
        <sz val="11"/>
        <color rgb="FFCCCCCC"/>
        <rFont val="Consolas"/>
        <family val="3"/>
      </rPr>
      <t>).</t>
    </r>
  </si>
  <si>
    <r>
      <t xml:space="preserve">    </t>
    </r>
    <r>
      <rPr>
        <sz val="11"/>
        <color rgb="FF6796E6"/>
        <rFont val="Consolas"/>
        <family val="3"/>
      </rPr>
      <t>-</t>
    </r>
    <r>
      <rPr>
        <sz val="11"/>
        <color rgb="FFCCCCCC"/>
        <rFont val="Consolas"/>
        <family val="3"/>
      </rPr>
      <t xml:space="preserve"> </t>
    </r>
    <r>
      <rPr>
        <b/>
        <sz val="11"/>
        <color rgb="FF569CD6"/>
        <rFont val="Consolas"/>
        <family val="3"/>
      </rPr>
      <t>**ScaleName:**</t>
    </r>
    <r>
      <rPr>
        <sz val="11"/>
        <color rgb="FFCCCCCC"/>
        <rFont val="Consolas"/>
        <family val="3"/>
      </rPr>
      <t xml:space="preserve"> The recommended scale.</t>
    </r>
  </si>
  <si>
    <r>
      <t xml:space="preserve">    </t>
    </r>
    <r>
      <rPr>
        <sz val="11"/>
        <color rgb="FF6796E6"/>
        <rFont val="Consolas"/>
        <family val="3"/>
      </rPr>
      <t>-</t>
    </r>
    <r>
      <rPr>
        <sz val="11"/>
        <color rgb="FFCCCCCC"/>
        <rFont val="Consolas"/>
        <family val="3"/>
      </rPr>
      <t xml:space="preserve"> </t>
    </r>
    <r>
      <rPr>
        <b/>
        <sz val="11"/>
        <color rgb="FF569CD6"/>
        <rFont val="Consolas"/>
        <family val="3"/>
      </rPr>
      <t>**Details:**</t>
    </r>
    <r>
      <rPr>
        <sz val="11"/>
        <color rgb="FFCCCCCC"/>
        <rFont val="Consolas"/>
        <family val="3"/>
      </rPr>
      <t xml:space="preserve"> Chord Tones, Guide Tones, and Scale Notes.</t>
    </r>
  </si>
  <si>
    <r>
      <t>5.</t>
    </r>
    <r>
      <rPr>
        <sz val="11"/>
        <color rgb="FFCCCCCC"/>
        <rFont val="Consolas"/>
        <family val="3"/>
      </rPr>
      <t xml:space="preserve">  </t>
    </r>
    <r>
      <rPr>
        <b/>
        <sz val="11"/>
        <color rgb="FF569CD6"/>
        <rFont val="Consolas"/>
        <family val="3"/>
      </rPr>
      <t>**Visualize on Keyboard:**</t>
    </r>
  </si>
  <si>
    <r>
      <t xml:space="preserve">    </t>
    </r>
    <r>
      <rPr>
        <sz val="11"/>
        <color rgb="FF6796E6"/>
        <rFont val="Consolas"/>
        <family val="3"/>
      </rPr>
      <t>-</t>
    </r>
    <r>
      <rPr>
        <sz val="11"/>
        <color rgb="FFCCCCCC"/>
        <rFont val="Consolas"/>
        <family val="3"/>
      </rPr>
      <t xml:space="preserve"> Click on any row in the main table to select a chord.</t>
    </r>
  </si>
  <si>
    <r>
      <t xml:space="preserve">    </t>
    </r>
    <r>
      <rPr>
        <sz val="11"/>
        <color rgb="FF6796E6"/>
        <rFont val="Consolas"/>
        <family val="3"/>
      </rPr>
      <t>-</t>
    </r>
    <r>
      <rPr>
        <sz val="11"/>
        <color rgb="FFCCCCCC"/>
        <rFont val="Consolas"/>
        <family val="3"/>
      </rPr>
      <t xml:space="preserve"> Press </t>
    </r>
    <r>
      <rPr>
        <b/>
        <sz val="11"/>
        <color rgb="FF569CD6"/>
        <rFont val="Consolas"/>
        <family val="3"/>
      </rPr>
      <t>**F9**</t>
    </r>
    <r>
      <rPr>
        <sz val="11"/>
        <color rgb="FFCCCCCC"/>
        <rFont val="Consolas"/>
        <family val="3"/>
      </rPr>
      <t xml:space="preserve"> to update the keyboard visualization.</t>
    </r>
  </si>
  <si>
    <r>
      <t xml:space="preserve">    </t>
    </r>
    <r>
      <rPr>
        <sz val="11"/>
        <color rgb="FF6796E6"/>
        <rFont val="Consolas"/>
        <family val="3"/>
      </rPr>
      <t>-</t>
    </r>
    <r>
      <rPr>
        <sz val="11"/>
        <color rgb="FFCCCCCC"/>
        <rFont val="Consolas"/>
        <family val="3"/>
      </rPr>
      <t xml:space="preserve"> </t>
    </r>
    <r>
      <rPr>
        <i/>
        <sz val="11"/>
        <color rgb="FFCCCCCC"/>
        <rFont val="Consolas"/>
        <family val="3"/>
      </rPr>
      <t>_Note:_</t>
    </r>
    <r>
      <rPr>
        <sz val="11"/>
        <color rgb="FFCCCCCC"/>
        <rFont val="Consolas"/>
        <family val="3"/>
      </rPr>
      <t xml:space="preserve"> </t>
    </r>
    <r>
      <rPr>
        <b/>
        <sz val="11"/>
        <color rgb="FF569CD6"/>
        <rFont val="Consolas"/>
        <family val="3"/>
      </rPr>
      <t>**Do not copy and paste**</t>
    </r>
    <r>
      <rPr>
        <sz val="11"/>
        <color rgb="FFCCCCCC"/>
        <rFont val="Consolas"/>
        <family val="3"/>
      </rPr>
      <t xml:space="preserve"> rows to prevent broken links. </t>
    </r>
    <r>
      <rPr>
        <b/>
        <sz val="11"/>
        <color rgb="FF569CD6"/>
        <rFont val="Consolas"/>
        <family val="3"/>
      </rPr>
      <t>**Select a row and press F9 to update.**</t>
    </r>
  </si>
  <si>
    <r>
      <t xml:space="preserve">    </t>
    </r>
    <r>
      <rPr>
        <sz val="11"/>
        <color rgb="FF6796E6"/>
        <rFont val="Consolas"/>
        <family val="3"/>
      </rPr>
      <t>-</t>
    </r>
    <r>
      <rPr>
        <sz val="11"/>
        <color rgb="FFCCCCCC"/>
        <rFont val="Consolas"/>
        <family val="3"/>
      </rPr>
      <t xml:space="preserve"> If you need an image of the keyboard, please </t>
    </r>
    <r>
      <rPr>
        <b/>
        <sz val="11"/>
        <color rgb="FF569CD6"/>
        <rFont val="Consolas"/>
        <family val="3"/>
      </rPr>
      <t>**take a screenshot**</t>
    </r>
    <r>
      <rPr>
        <sz val="11"/>
        <color rgb="FFCCCCCC"/>
        <rFont val="Consolas"/>
        <family val="3"/>
      </rPr>
      <t>.</t>
    </r>
  </si>
  <si>
    <t>## 🧠 Logical Structure</t>
  </si>
  <si>
    <t>This tool handles Jazz theory using a relational database approach within Excel.</t>
  </si>
  <si>
    <r>
      <t>-</t>
    </r>
    <r>
      <rPr>
        <sz val="11"/>
        <color rgb="FFCCCCCC"/>
        <rFont val="Consolas"/>
        <family val="3"/>
      </rPr>
      <t xml:space="preserve"> </t>
    </r>
    <r>
      <rPr>
        <b/>
        <sz val="11"/>
        <color rgb="FF569CD6"/>
        <rFont val="Consolas"/>
        <family val="3"/>
      </rPr>
      <t>**NoteDefinitions:**</t>
    </r>
    <r>
      <rPr>
        <sz val="11"/>
        <color rgb="FFCCCCCC"/>
        <rFont val="Consolas"/>
        <family val="3"/>
      </rPr>
      <t xml:space="preserve"> Defines all 12 notes, including enharmonic spellings (e.g., </t>
    </r>
    <r>
      <rPr>
        <sz val="11"/>
        <color rgb="FFCE9178"/>
        <rFont val="Consolas"/>
        <family val="3"/>
      </rPr>
      <t>`C#`</t>
    </r>
    <r>
      <rPr>
        <sz val="11"/>
        <color rgb="FFCCCCCC"/>
        <rFont val="Consolas"/>
        <family val="3"/>
      </rPr>
      <t xml:space="preserve"> vs </t>
    </r>
    <r>
      <rPr>
        <sz val="11"/>
        <color rgb="FFCE9178"/>
        <rFont val="Consolas"/>
        <family val="3"/>
      </rPr>
      <t>`Db`</t>
    </r>
    <r>
      <rPr>
        <sz val="11"/>
        <color rgb="FFCCCCCC"/>
        <rFont val="Consolas"/>
        <family val="3"/>
      </rPr>
      <t xml:space="preserve">, </t>
    </r>
    <r>
      <rPr>
        <sz val="11"/>
        <color rgb="FFCE9178"/>
        <rFont val="Consolas"/>
        <family val="3"/>
      </rPr>
      <t>`F##`</t>
    </r>
    <r>
      <rPr>
        <sz val="11"/>
        <color rgb="FFCCCCCC"/>
        <rFont val="Consolas"/>
        <family val="3"/>
      </rPr>
      <t xml:space="preserve">, </t>
    </r>
    <r>
      <rPr>
        <sz val="11"/>
        <color rgb="FFCE9178"/>
        <rFont val="Consolas"/>
        <family val="3"/>
      </rPr>
      <t>`Bbb`</t>
    </r>
    <r>
      <rPr>
        <sz val="11"/>
        <color rgb="FFCCCCCC"/>
        <rFont val="Consolas"/>
        <family val="3"/>
      </rPr>
      <t>).</t>
    </r>
  </si>
  <si>
    <r>
      <t>-</t>
    </r>
    <r>
      <rPr>
        <sz val="11"/>
        <color rgb="FFCCCCCC"/>
        <rFont val="Consolas"/>
        <family val="3"/>
      </rPr>
      <t xml:space="preserve"> </t>
    </r>
    <r>
      <rPr>
        <b/>
        <sz val="11"/>
        <color rgb="FF569CD6"/>
        <rFont val="Consolas"/>
        <family val="3"/>
      </rPr>
      <t>**IntervalDefinitions:**</t>
    </r>
    <r>
      <rPr>
        <sz val="11"/>
        <color rgb="FFCCCCCC"/>
        <rFont val="Consolas"/>
        <family val="3"/>
      </rPr>
      <t xml:space="preserve"> Manages musical intervals and their distances.</t>
    </r>
  </si>
  <si>
    <r>
      <t>-</t>
    </r>
    <r>
      <rPr>
        <sz val="11"/>
        <color rgb="FFCCCCCC"/>
        <rFont val="Consolas"/>
        <family val="3"/>
      </rPr>
      <t xml:space="preserve"> </t>
    </r>
    <r>
      <rPr>
        <b/>
        <sz val="11"/>
        <color rgb="FF569CD6"/>
        <rFont val="Consolas"/>
        <family val="3"/>
      </rPr>
      <t>**ChordDefinitions:**</t>
    </r>
    <r>
      <rPr>
        <sz val="11"/>
        <color rgb="FFCCCCCC"/>
        <rFont val="Consolas"/>
        <family val="3"/>
      </rPr>
      <t xml:space="preserve"> Defines the structure of chord symbols (e.g., </t>
    </r>
    <r>
      <rPr>
        <sz val="11"/>
        <color rgb="FFCE9178"/>
        <rFont val="Consolas"/>
        <family val="3"/>
      </rPr>
      <t>`m7`</t>
    </r>
    <r>
      <rPr>
        <sz val="11"/>
        <color rgb="FFCCCCCC"/>
        <rFont val="Consolas"/>
        <family val="3"/>
      </rPr>
      <t xml:space="preserve"> = R, m3, 5, m7).</t>
    </r>
  </si>
  <si>
    <r>
      <t>-</t>
    </r>
    <r>
      <rPr>
        <sz val="11"/>
        <color rgb="FFCCCCCC"/>
        <rFont val="Consolas"/>
        <family val="3"/>
      </rPr>
      <t xml:space="preserve"> </t>
    </r>
    <r>
      <rPr>
        <b/>
        <sz val="11"/>
        <color rgb="FF569CD6"/>
        <rFont val="Consolas"/>
        <family val="3"/>
      </rPr>
      <t>**ScaleDefinitions:**</t>
    </r>
    <r>
      <rPr>
        <sz val="11"/>
        <color rgb="FFCCCCCC"/>
        <rFont val="Consolas"/>
        <family val="3"/>
      </rPr>
      <t xml:space="preserve"> Defines scale intervals and avoid notes.</t>
    </r>
  </si>
  <si>
    <r>
      <t>-</t>
    </r>
    <r>
      <rPr>
        <sz val="11"/>
        <color rgb="FFCCCCCC"/>
        <rFont val="Consolas"/>
        <family val="3"/>
      </rPr>
      <t xml:space="preserve"> </t>
    </r>
    <r>
      <rPr>
        <b/>
        <sz val="11"/>
        <color rgb="FF569CD6"/>
        <rFont val="Consolas"/>
        <family val="3"/>
      </rPr>
      <t>**ScaleAssignmentRules:**</t>
    </r>
    <r>
      <rPr>
        <sz val="11"/>
        <color rgb="FFCCCCCC"/>
        <rFont val="Consolas"/>
        <family val="3"/>
      </rPr>
      <t xml:space="preserve"> The logic engine that maps </t>
    </r>
    <r>
      <rPr>
        <sz val="11"/>
        <color rgb="FFCE9178"/>
        <rFont val="Consolas"/>
        <family val="3"/>
      </rPr>
      <t>`Key Context`</t>
    </r>
    <r>
      <rPr>
        <sz val="11"/>
        <color rgb="FFCCCCCC"/>
        <rFont val="Consolas"/>
        <family val="3"/>
      </rPr>
      <t xml:space="preserve"> + </t>
    </r>
    <r>
      <rPr>
        <sz val="11"/>
        <color rgb="FFCE9178"/>
        <rFont val="Consolas"/>
        <family val="3"/>
      </rPr>
      <t>`Chord Degree`</t>
    </r>
    <r>
      <rPr>
        <sz val="11"/>
        <color rgb="FFCCCCCC"/>
        <rFont val="Consolas"/>
        <family val="3"/>
      </rPr>
      <t xml:space="preserve"> to the correct </t>
    </r>
    <r>
      <rPr>
        <sz val="11"/>
        <color rgb="FFCE9178"/>
        <rFont val="Consolas"/>
        <family val="3"/>
      </rPr>
      <t>`Scale`</t>
    </r>
    <r>
      <rPr>
        <sz val="11"/>
        <color rgb="FFCCCCCC"/>
        <rFont val="Consolas"/>
        <family val="3"/>
      </rPr>
      <t>.</t>
    </r>
  </si>
  <si>
    <t>## ⚠️ Known Limitations</t>
  </si>
  <si>
    <t>---</t>
  </si>
  <si>
    <t># JCSC (Jazz Chord-Scale Calculator) - 日本語ドキュメント</t>
  </si>
  <si>
    <t>**究極の論理駆動型 Excel ジャズ理論エンジン**</t>
  </si>
  <si>
    <t>JCSC は、ジャズのコード進行を瞬時に解析するために設計された、強力な Excel ツールです。曲のキー（調）とコードの関係性に基づき、理論的に最も正しいスケール、コードトーン、ガイドトーン、アボイドノートを自動的に算出します。さらに、インタラクティブな鍵盤表示機能により、視覚的な理解を助けます。</t>
  </si>
  <si>
    <t>## 🚀 主な機能</t>
  </si>
  <si>
    <t>### 1. 高度な理論ロジック</t>
  </si>
  <si>
    <t>### 2. 柔軟な入力システム</t>
  </si>
  <si>
    <t>### 3. 包括的な出力</t>
  </si>
  <si>
    <t>### 4. インタラクティブな視覚化</t>
  </si>
  <si>
    <t>## 🛠 動作環境</t>
  </si>
  <si>
    <t>## 📖 使い方</t>
  </si>
  <si>
    <t>| 列名          | 説明                                                         | 入力例                                  |</t>
  </si>
  <si>
    <t>| :------------ | :----------------------------------------------------------- | :-------------------------------------- |</t>
  </si>
  <si>
    <t>## 🧠 論理構造</t>
  </si>
  <si>
    <t>本ツールは、Excel 内部でリレーショナルデータベース的なアプローチを用いてジャズ理論を処理しています。</t>
  </si>
  <si>
    <t>## ⚠️ 制限事項</t>
  </si>
  <si>
    <r>
      <t>-</t>
    </r>
    <r>
      <rPr>
        <sz val="11"/>
        <color rgb="FFCCCCCC"/>
        <rFont val="Yu Gothic UI"/>
        <family val="3"/>
        <charset val="128"/>
      </rPr>
      <t xml:space="preserve"> </t>
    </r>
    <r>
      <rPr>
        <b/>
        <sz val="11"/>
        <color rgb="FF569CD6"/>
        <rFont val="Yu Gothic UI"/>
        <family val="3"/>
        <charset val="128"/>
      </rPr>
      <t>**文脈に応じたスケール判定:**</t>
    </r>
    <r>
      <rPr>
        <sz val="11"/>
        <color rgb="FFCCCCCC"/>
        <rFont val="Yu Gothic UI"/>
        <family val="3"/>
        <charset val="128"/>
      </rPr>
      <t xml:space="preserve"> キー内の和声機能（トニック/サブドミナント/ドミナント）に基づき、最適なスケール（ドリアン、ミクソリディアン、オルタードなど）を自動選択します。</t>
    </r>
  </si>
  <si>
    <r>
      <t>-</t>
    </r>
    <r>
      <rPr>
        <sz val="11"/>
        <color rgb="FFCCCCCC"/>
        <rFont val="Yu Gothic UI"/>
        <family val="3"/>
        <charset val="128"/>
      </rPr>
      <t xml:space="preserve"> </t>
    </r>
    <r>
      <rPr>
        <b/>
        <sz val="11"/>
        <color rgb="FF569CD6"/>
        <rFont val="Yu Gothic UI"/>
        <family val="3"/>
        <charset val="128"/>
      </rPr>
      <t>**異名同音の完全な処理:**</t>
    </r>
    <r>
      <rPr>
        <sz val="11"/>
        <color rgb="FFCCCCCC"/>
        <rFont val="Yu Gothic UI"/>
        <family val="3"/>
        <charset val="128"/>
      </rPr>
      <t xml:space="preserve"> </t>
    </r>
    <r>
      <rPr>
        <b/>
        <sz val="11"/>
        <color rgb="FF569CD6"/>
        <rFont val="Yu Gothic UI"/>
        <family val="3"/>
        <charset val="128"/>
      </rPr>
      <t>**ダブルシャープ (x)**</t>
    </r>
    <r>
      <rPr>
        <sz val="11"/>
        <color rgb="FFCCCCCC"/>
        <rFont val="Yu Gothic UI"/>
        <family val="3"/>
        <charset val="128"/>
      </rPr>
      <t xml:space="preserve"> や </t>
    </r>
    <r>
      <rPr>
        <b/>
        <sz val="11"/>
        <color rgb="FF569CD6"/>
        <rFont val="Yu Gothic UI"/>
        <family val="3"/>
        <charset val="128"/>
      </rPr>
      <t>**トリプルフラット (bbb)**</t>
    </r>
    <r>
      <rPr>
        <sz val="11"/>
        <color rgb="FFCCCCCC"/>
        <rFont val="Yu Gothic UI"/>
        <family val="3"/>
        <charset val="128"/>
      </rPr>
      <t xml:space="preserve"> といった複雑な表記も、理論通りに正確に出力します。</t>
    </r>
  </si>
  <si>
    <r>
      <t xml:space="preserve">  </t>
    </r>
    <r>
      <rPr>
        <sz val="11"/>
        <color rgb="FF6796E6"/>
        <rFont val="Yu Gothic UI"/>
        <family val="3"/>
        <charset val="128"/>
      </rPr>
      <t>-</t>
    </r>
    <r>
      <rPr>
        <sz val="11"/>
        <color rgb="FFCCCCCC"/>
        <rFont val="Yu Gothic UI"/>
        <family val="3"/>
        <charset val="128"/>
      </rPr>
      <t xml:space="preserve"> </t>
    </r>
    <r>
      <rPr>
        <i/>
        <sz val="11"/>
        <color rgb="FFCCCCCC"/>
        <rFont val="Yu Gothic UI"/>
        <family val="3"/>
        <charset val="128"/>
      </rPr>
      <t>_例:_</t>
    </r>
    <r>
      <rPr>
        <sz val="11"/>
        <color rgb="FFCCCCCC"/>
        <rFont val="Yu Gothic UI"/>
        <family val="3"/>
        <charset val="128"/>
      </rPr>
      <t xml:space="preserve"> </t>
    </r>
    <r>
      <rPr>
        <sz val="11"/>
        <color rgb="FFCE9178"/>
        <rFont val="Yu Gothic UI"/>
        <family val="3"/>
        <charset val="128"/>
      </rPr>
      <t>`G#M7`</t>
    </r>
    <r>
      <rPr>
        <sz val="11"/>
        <color rgb="FFCCCCCC"/>
        <rFont val="Yu Gothic UI"/>
        <family val="3"/>
        <charset val="128"/>
      </rPr>
      <t xml:space="preserve"> → メジャー 7th は </t>
    </r>
    <r>
      <rPr>
        <sz val="11"/>
        <color rgb="FFCE9178"/>
        <rFont val="Yu Gothic UI"/>
        <family val="3"/>
        <charset val="128"/>
      </rPr>
      <t>`F##`</t>
    </r>
    <r>
      <rPr>
        <sz val="11"/>
        <color rgb="FFCCCCCC"/>
        <rFont val="Yu Gothic UI"/>
        <family val="3"/>
        <charset val="128"/>
      </rPr>
      <t xml:space="preserve"> (G ではない)。</t>
    </r>
  </si>
  <si>
    <r>
      <t xml:space="preserve">  </t>
    </r>
    <r>
      <rPr>
        <sz val="11"/>
        <color rgb="FF6796E6"/>
        <rFont val="Yu Gothic UI"/>
        <family val="3"/>
        <charset val="128"/>
      </rPr>
      <t>-</t>
    </r>
    <r>
      <rPr>
        <sz val="11"/>
        <color rgb="FFCCCCCC"/>
        <rFont val="Yu Gothic UI"/>
        <family val="3"/>
        <charset val="128"/>
      </rPr>
      <t xml:space="preserve"> </t>
    </r>
    <r>
      <rPr>
        <i/>
        <sz val="11"/>
        <color rgb="FFCCCCCC"/>
        <rFont val="Yu Gothic UI"/>
        <family val="3"/>
        <charset val="128"/>
      </rPr>
      <t>_例:_</t>
    </r>
    <r>
      <rPr>
        <sz val="11"/>
        <color rgb="FFCCCCCC"/>
        <rFont val="Yu Gothic UI"/>
        <family val="3"/>
        <charset val="128"/>
      </rPr>
      <t xml:space="preserve"> </t>
    </r>
    <r>
      <rPr>
        <sz val="11"/>
        <color rgb="FFCE9178"/>
        <rFont val="Yu Gothic UI"/>
        <family val="3"/>
        <charset val="128"/>
      </rPr>
      <t>`Fbdim7`</t>
    </r>
    <r>
      <rPr>
        <sz val="11"/>
        <color rgb="FFCCCCCC"/>
        <rFont val="Yu Gothic UI"/>
        <family val="3"/>
        <charset val="128"/>
      </rPr>
      <t xml:space="preserve"> → 減 7 度は </t>
    </r>
    <r>
      <rPr>
        <sz val="11"/>
        <color rgb="FFCE9178"/>
        <rFont val="Yu Gothic UI"/>
        <family val="3"/>
        <charset val="128"/>
      </rPr>
      <t>`Ebbb`</t>
    </r>
    <r>
      <rPr>
        <sz val="11"/>
        <color rgb="FFCCCCCC"/>
        <rFont val="Yu Gothic UI"/>
        <family val="3"/>
        <charset val="128"/>
      </rPr>
      <t xml:space="preserve"> (D ではない)。</t>
    </r>
  </si>
  <si>
    <r>
      <t>-</t>
    </r>
    <r>
      <rPr>
        <sz val="11"/>
        <color rgb="FFCCCCCC"/>
        <rFont val="Yu Gothic UI"/>
        <family val="3"/>
        <charset val="128"/>
      </rPr>
      <t xml:space="preserve"> </t>
    </r>
    <r>
      <rPr>
        <b/>
        <sz val="11"/>
        <color rgb="FF569CD6"/>
        <rFont val="Yu Gothic UI"/>
        <family val="3"/>
        <charset val="128"/>
      </rPr>
      <t>**直接入力:**</t>
    </r>
    <r>
      <rPr>
        <sz val="11"/>
        <color rgb="FFCCCCCC"/>
        <rFont val="Yu Gothic UI"/>
        <family val="3"/>
        <charset val="128"/>
      </rPr>
      <t xml:space="preserve"> 譜面に書かれたコードネームをそのまま入力可能（例: </t>
    </r>
    <r>
      <rPr>
        <sz val="11"/>
        <color rgb="FFCE9178"/>
        <rFont val="Yu Gothic UI"/>
        <family val="3"/>
        <charset val="128"/>
      </rPr>
      <t>`Dm7`</t>
    </r>
    <r>
      <rPr>
        <sz val="11"/>
        <color rgb="FFCCCCCC"/>
        <rFont val="Yu Gothic UI"/>
        <family val="3"/>
        <charset val="128"/>
      </rPr>
      <t xml:space="preserve">, </t>
    </r>
    <r>
      <rPr>
        <sz val="11"/>
        <color rgb="FFCE9178"/>
        <rFont val="Yu Gothic UI"/>
        <family val="3"/>
        <charset val="128"/>
      </rPr>
      <t>`G7`</t>
    </r>
    <r>
      <rPr>
        <sz val="11"/>
        <color rgb="FFCCCCCC"/>
        <rFont val="Yu Gothic UI"/>
        <family val="3"/>
        <charset val="128"/>
      </rPr>
      <t>）。</t>
    </r>
  </si>
  <si>
    <r>
      <t>-</t>
    </r>
    <r>
      <rPr>
        <sz val="11"/>
        <color rgb="FFCCCCCC"/>
        <rFont val="Yu Gothic UI"/>
        <family val="3"/>
        <charset val="128"/>
      </rPr>
      <t xml:space="preserve"> </t>
    </r>
    <r>
      <rPr>
        <b/>
        <sz val="11"/>
        <color rgb="FF569CD6"/>
        <rFont val="Yu Gothic UI"/>
        <family val="3"/>
        <charset val="128"/>
      </rPr>
      <t>**相対入力:**</t>
    </r>
    <r>
      <rPr>
        <sz val="11"/>
        <color rgb="FFCCCCCC"/>
        <rFont val="Yu Gothic UI"/>
        <family val="3"/>
        <charset val="128"/>
      </rPr>
      <t xml:space="preserve"> C メジャー（または A マイナー）に移調した状態での入力もサポート（アナライズ学習に最適）。</t>
    </r>
  </si>
  <si>
    <r>
      <t>-</t>
    </r>
    <r>
      <rPr>
        <sz val="11"/>
        <color rgb="FFCCCCCC"/>
        <rFont val="Yu Gothic UI"/>
        <family val="3"/>
        <charset val="128"/>
      </rPr>
      <t xml:space="preserve"> </t>
    </r>
    <r>
      <rPr>
        <b/>
        <sz val="11"/>
        <color rgb="FF569CD6"/>
        <rFont val="Yu Gothic UI"/>
        <family val="3"/>
        <charset val="128"/>
      </rPr>
      <t>**自動整合性チェック:**</t>
    </r>
    <r>
      <rPr>
        <sz val="11"/>
        <color rgb="FFCCCCCC"/>
        <rFont val="Yu Gothic UI"/>
        <family val="3"/>
        <charset val="128"/>
      </rPr>
      <t xml:space="preserve"> 入力モード間の矛盾を自動的に検知します。</t>
    </r>
  </si>
  <si>
    <r>
      <t>-</t>
    </r>
    <r>
      <rPr>
        <sz val="11"/>
        <color rgb="FFCCCCCC"/>
        <rFont val="Yu Gothic UI"/>
        <family val="3"/>
        <charset val="128"/>
      </rPr>
      <t xml:space="preserve"> </t>
    </r>
    <r>
      <rPr>
        <b/>
        <sz val="11"/>
        <color rgb="FF569CD6"/>
        <rFont val="Yu Gothic UI"/>
        <family val="3"/>
        <charset val="128"/>
      </rPr>
      <t>**コードトーン:**</t>
    </r>
    <r>
      <rPr>
        <sz val="11"/>
        <color rgb="FFCCCCCC"/>
        <rFont val="Yu Gothic UI"/>
        <family val="3"/>
        <charset val="128"/>
      </rPr>
      <t xml:space="preserve"> ルート、3 度、5 度、7 度など。</t>
    </r>
  </si>
  <si>
    <r>
      <t>-</t>
    </r>
    <r>
      <rPr>
        <sz val="11"/>
        <color rgb="FFCCCCCC"/>
        <rFont val="Yu Gothic UI"/>
        <family val="3"/>
        <charset val="128"/>
      </rPr>
      <t xml:space="preserve"> </t>
    </r>
    <r>
      <rPr>
        <b/>
        <sz val="11"/>
        <color rgb="FF569CD6"/>
        <rFont val="Yu Gothic UI"/>
        <family val="3"/>
        <charset val="128"/>
      </rPr>
      <t>**ガイドトーン:**</t>
    </r>
    <r>
      <rPr>
        <sz val="11"/>
        <color rgb="FFCCCCCC"/>
        <rFont val="Yu Gothic UI"/>
        <family val="3"/>
        <charset val="128"/>
      </rPr>
      <t xml:space="preserve"> ジャズのアドリブの核となる 3 度と 7 度。</t>
    </r>
  </si>
  <si>
    <r>
      <t>-</t>
    </r>
    <r>
      <rPr>
        <sz val="11"/>
        <color rgb="FFCCCCCC"/>
        <rFont val="Yu Gothic UI"/>
        <family val="3"/>
        <charset val="128"/>
      </rPr>
      <t xml:space="preserve"> </t>
    </r>
    <r>
      <rPr>
        <b/>
        <sz val="11"/>
        <color rgb="FF569CD6"/>
        <rFont val="Yu Gothic UI"/>
        <family val="3"/>
        <charset val="128"/>
      </rPr>
      <t>**スケール構成音:**</t>
    </r>
    <r>
      <rPr>
        <sz val="11"/>
        <color rgb="FFCCCCCC"/>
        <rFont val="Yu Gothic UI"/>
        <family val="3"/>
        <charset val="128"/>
      </rPr>
      <t xml:space="preserve"> ガイドトーンを </t>
    </r>
    <r>
      <rPr>
        <sz val="11"/>
        <color rgb="FFCE9178"/>
        <rFont val="Yu Gothic UI"/>
        <family val="3"/>
        <charset val="128"/>
      </rPr>
      <t>`'`</t>
    </r>
    <r>
      <rPr>
        <sz val="11"/>
        <color rgb="FFCCCCCC"/>
        <rFont val="Yu Gothic UI"/>
        <family val="3"/>
        <charset val="128"/>
      </rPr>
      <t xml:space="preserve"> 、アボイドノートを </t>
    </r>
    <r>
      <rPr>
        <sz val="11"/>
        <color rgb="FFCE9178"/>
        <rFont val="Yu Gothic UI"/>
        <family val="3"/>
        <charset val="128"/>
      </rPr>
      <t>`()`</t>
    </r>
    <r>
      <rPr>
        <sz val="11"/>
        <color rgb="FFCCCCCC"/>
        <rFont val="Yu Gothic UI"/>
        <family val="3"/>
        <charset val="128"/>
      </rPr>
      <t xml:space="preserve"> で視覚化したスケール一覧。</t>
    </r>
  </si>
  <si>
    <r>
      <t>-</t>
    </r>
    <r>
      <rPr>
        <sz val="11"/>
        <color rgb="FFCCCCCC"/>
        <rFont val="Yu Gothic UI"/>
        <family val="3"/>
        <charset val="128"/>
      </rPr>
      <t xml:space="preserve"> </t>
    </r>
    <r>
      <rPr>
        <b/>
        <sz val="11"/>
        <color rgb="FF569CD6"/>
        <rFont val="Yu Gothic UI"/>
        <family val="3"/>
        <charset val="128"/>
      </rPr>
      <t>**代替スケール:**</t>
    </r>
    <r>
      <rPr>
        <sz val="11"/>
        <color rgb="FFCCCCCC"/>
        <rFont val="Yu Gothic UI"/>
        <family val="3"/>
        <charset val="128"/>
      </rPr>
      <t xml:space="preserve"> リハーモナイズのヒントとなる、その他のスケール候補を提案。</t>
    </r>
  </si>
  <si>
    <r>
      <t>-</t>
    </r>
    <r>
      <rPr>
        <sz val="11"/>
        <color rgb="FFCCCCCC"/>
        <rFont val="Yu Gothic UI"/>
        <family val="3"/>
        <charset val="128"/>
      </rPr>
      <t xml:space="preserve"> </t>
    </r>
    <r>
      <rPr>
        <b/>
        <sz val="11"/>
        <color rgb="FF569CD6"/>
        <rFont val="Yu Gothic UI"/>
        <family val="3"/>
        <charset val="128"/>
      </rPr>
      <t>**ダイナミックキーボード表示:**</t>
    </r>
    <r>
      <rPr>
        <sz val="11"/>
        <color rgb="FFCCCCCC"/>
        <rFont val="Yu Gothic UI"/>
        <family val="3"/>
        <charset val="128"/>
      </rPr>
      <t xml:space="preserve"> 選択したコードの構成音をピアノ鍵盤インターフェース上に視覚化します。</t>
    </r>
  </si>
  <si>
    <r>
      <t>-</t>
    </r>
    <r>
      <rPr>
        <sz val="11"/>
        <color rgb="FFCCCCCC"/>
        <rFont val="Yu Gothic UI"/>
        <family val="3"/>
        <charset val="128"/>
      </rPr>
      <t xml:space="preserve"> </t>
    </r>
    <r>
      <rPr>
        <b/>
        <sz val="11"/>
        <color rgb="FF569CD6"/>
        <rFont val="Yu Gothic UI"/>
        <family val="3"/>
        <charset val="128"/>
      </rPr>
      <t>**カラーコード分析:**</t>
    </r>
    <r>
      <rPr>
        <sz val="11"/>
        <color rgb="FFCCCCCC"/>
        <rFont val="Yu Gothic UI"/>
        <family val="3"/>
        <charset val="128"/>
      </rPr>
      <t xml:space="preserve"> 音の機能に応じて鍵盤が色分けされます：</t>
    </r>
  </si>
  <si>
    <r>
      <t xml:space="preserve">  </t>
    </r>
    <r>
      <rPr>
        <sz val="11"/>
        <color rgb="FF6796E6"/>
        <rFont val="Yu Gothic UI"/>
        <family val="3"/>
        <charset val="128"/>
      </rPr>
      <t>-</t>
    </r>
    <r>
      <rPr>
        <sz val="11"/>
        <color rgb="FFCCCCCC"/>
        <rFont val="Yu Gothic UI"/>
        <family val="3"/>
        <charset val="128"/>
      </rPr>
      <t xml:space="preserve"> ルート音 (Root Note)</t>
    </r>
  </si>
  <si>
    <r>
      <t xml:space="preserve">  </t>
    </r>
    <r>
      <rPr>
        <sz val="11"/>
        <color rgb="FF6796E6"/>
        <rFont val="Yu Gothic UI"/>
        <family val="3"/>
        <charset val="128"/>
      </rPr>
      <t>-</t>
    </r>
    <r>
      <rPr>
        <sz val="11"/>
        <color rgb="FFCCCCCC"/>
        <rFont val="Yu Gothic UI"/>
        <family val="3"/>
        <charset val="128"/>
      </rPr>
      <t xml:space="preserve"> アボイドノート (Avoid Note)</t>
    </r>
  </si>
  <si>
    <r>
      <t xml:space="preserve">  </t>
    </r>
    <r>
      <rPr>
        <sz val="11"/>
        <color rgb="FF6796E6"/>
        <rFont val="Yu Gothic UI"/>
        <family val="3"/>
        <charset val="128"/>
      </rPr>
      <t>-</t>
    </r>
    <r>
      <rPr>
        <sz val="11"/>
        <color rgb="FFCCCCCC"/>
        <rFont val="Yu Gothic UI"/>
        <family val="3"/>
        <charset val="128"/>
      </rPr>
      <t xml:space="preserve"> ガイドトーン (Guide Tone)</t>
    </r>
  </si>
  <si>
    <r>
      <t xml:space="preserve">  </t>
    </r>
    <r>
      <rPr>
        <sz val="11"/>
        <color rgb="FF6796E6"/>
        <rFont val="Yu Gothic UI"/>
        <family val="3"/>
        <charset val="128"/>
      </rPr>
      <t>-</t>
    </r>
    <r>
      <rPr>
        <sz val="11"/>
        <color rgb="FFCCCCCC"/>
        <rFont val="Yu Gothic UI"/>
        <family val="3"/>
        <charset val="128"/>
      </rPr>
      <t xml:space="preserve"> コードトーン (Chord Tone)</t>
    </r>
  </si>
  <si>
    <r>
      <t xml:space="preserve">  </t>
    </r>
    <r>
      <rPr>
        <sz val="11"/>
        <color rgb="FF6796E6"/>
        <rFont val="Yu Gothic UI"/>
        <family val="3"/>
        <charset val="128"/>
      </rPr>
      <t>-</t>
    </r>
    <r>
      <rPr>
        <sz val="11"/>
        <color rgb="FFCCCCCC"/>
        <rFont val="Yu Gothic UI"/>
        <family val="3"/>
        <charset val="128"/>
      </rPr>
      <t xml:space="preserve"> スケールトーン (Scale Tone)</t>
    </r>
  </si>
  <si>
    <r>
      <t>-</t>
    </r>
    <r>
      <rPr>
        <sz val="11"/>
        <color rgb="FFCCCCCC"/>
        <rFont val="Yu Gothic UI"/>
        <family val="3"/>
        <charset val="128"/>
      </rPr>
      <t xml:space="preserve"> </t>
    </r>
    <r>
      <rPr>
        <b/>
        <sz val="11"/>
        <color rgb="FF569CD6"/>
        <rFont val="Yu Gothic UI"/>
        <family val="3"/>
        <charset val="128"/>
      </rPr>
      <t>**瞬時更新:**</t>
    </r>
    <r>
      <rPr>
        <sz val="11"/>
        <color rgb="FFCCCCCC"/>
        <rFont val="Yu Gothic UI"/>
        <family val="3"/>
        <charset val="128"/>
      </rPr>
      <t xml:space="preserve"> 行を選択して </t>
    </r>
    <r>
      <rPr>
        <b/>
        <sz val="11"/>
        <color rgb="FF569CD6"/>
        <rFont val="Yu Gothic UI"/>
        <family val="3"/>
        <charset val="128"/>
      </rPr>
      <t>**F9**</t>
    </r>
    <r>
      <rPr>
        <sz val="11"/>
        <color rgb="FFCCCCCC"/>
        <rFont val="Yu Gothic UI"/>
        <family val="3"/>
        <charset val="128"/>
      </rPr>
      <t xml:space="preserve"> を押すだけで、そのコードに対応した鍵盤表示に瞬時に切り替わります。</t>
    </r>
  </si>
  <si>
    <r>
      <t>-</t>
    </r>
    <r>
      <rPr>
        <sz val="11"/>
        <color rgb="FFCCCCCC"/>
        <rFont val="Yu Gothic UI"/>
        <family val="3"/>
        <charset val="128"/>
      </rPr>
      <t xml:space="preserve"> </t>
    </r>
    <r>
      <rPr>
        <b/>
        <sz val="11"/>
        <color rgb="FF569CD6"/>
        <rFont val="Yu Gothic UI"/>
        <family val="3"/>
        <charset val="128"/>
      </rPr>
      <t>**Microsoft Excel 2021**</t>
    </r>
    <r>
      <rPr>
        <sz val="11"/>
        <color rgb="FFCCCCCC"/>
        <rFont val="Yu Gothic UI"/>
        <family val="3"/>
        <charset val="128"/>
      </rPr>
      <t xml:space="preserve"> または </t>
    </r>
    <r>
      <rPr>
        <b/>
        <sz val="11"/>
        <color rgb="FF569CD6"/>
        <rFont val="Yu Gothic UI"/>
        <family val="3"/>
        <charset val="128"/>
      </rPr>
      <t>**Microsoft 365**</t>
    </r>
  </si>
  <si>
    <r>
      <t xml:space="preserve">  </t>
    </r>
    <r>
      <rPr>
        <sz val="11"/>
        <color rgb="FF6796E6"/>
        <rFont val="Yu Gothic UI"/>
        <family val="3"/>
        <charset val="128"/>
      </rPr>
      <t>-</t>
    </r>
    <r>
      <rPr>
        <sz val="11"/>
        <color rgb="FFCCCCCC"/>
        <rFont val="Yu Gothic UI"/>
        <family val="3"/>
        <charset val="128"/>
      </rPr>
      <t xml:space="preserve"> </t>
    </r>
    <r>
      <rPr>
        <i/>
        <sz val="11"/>
        <color rgb="FFCCCCCC"/>
        <rFont val="Yu Gothic UI"/>
        <family val="3"/>
        <charset val="128"/>
      </rPr>
      <t>_注意:_</t>
    </r>
    <r>
      <rPr>
        <sz val="11"/>
        <color rgb="FFCCCCCC"/>
        <rFont val="Yu Gothic UI"/>
        <family val="3"/>
        <charset val="128"/>
      </rPr>
      <t xml:space="preserve"> </t>
    </r>
    <r>
      <rPr>
        <sz val="11"/>
        <color rgb="FFCE9178"/>
        <rFont val="Yu Gothic UI"/>
        <family val="3"/>
        <charset val="128"/>
      </rPr>
      <t>`LET`</t>
    </r>
    <r>
      <rPr>
        <sz val="11"/>
        <color rgb="FFCCCCCC"/>
        <rFont val="Yu Gothic UI"/>
        <family val="3"/>
        <charset val="128"/>
      </rPr>
      <t xml:space="preserve">, </t>
    </r>
    <r>
      <rPr>
        <sz val="11"/>
        <color rgb="FFCE9178"/>
        <rFont val="Yu Gothic UI"/>
        <family val="3"/>
        <charset val="128"/>
      </rPr>
      <t>`XLOOKUP`</t>
    </r>
    <r>
      <rPr>
        <sz val="11"/>
        <color rgb="FFCCCCCC"/>
        <rFont val="Yu Gothic UI"/>
        <family val="3"/>
        <charset val="128"/>
      </rPr>
      <t xml:space="preserve">, </t>
    </r>
    <r>
      <rPr>
        <sz val="11"/>
        <color rgb="FFCE9178"/>
        <rFont val="Yu Gothic UI"/>
        <family val="3"/>
        <charset val="128"/>
      </rPr>
      <t>`TEXTSPLIT`</t>
    </r>
    <r>
      <rPr>
        <sz val="11"/>
        <color rgb="FFCCCCCC"/>
        <rFont val="Yu Gothic UI"/>
        <family val="3"/>
        <charset val="128"/>
      </rPr>
      <t xml:space="preserve">, </t>
    </r>
    <r>
      <rPr>
        <sz val="11"/>
        <color rgb="FFCE9178"/>
        <rFont val="Yu Gothic UI"/>
        <family val="3"/>
        <charset val="128"/>
      </rPr>
      <t>`SPILL`</t>
    </r>
    <r>
      <rPr>
        <sz val="11"/>
        <color rgb="FFCCCCCC"/>
        <rFont val="Yu Gothic UI"/>
        <family val="3"/>
        <charset val="128"/>
      </rPr>
      <t xml:space="preserve"> などの最新の動的配列関数を多用しています。古いバージョンの Excel では動作しません。</t>
    </r>
  </si>
  <si>
    <r>
      <t>1.</t>
    </r>
    <r>
      <rPr>
        <sz val="11"/>
        <color rgb="FFCCCCCC"/>
        <rFont val="Yu Gothic UI"/>
        <family val="3"/>
        <charset val="128"/>
      </rPr>
      <t xml:space="preserve">  </t>
    </r>
    <r>
      <rPr>
        <sz val="11"/>
        <color rgb="FFCE9178"/>
        <rFont val="Yu Gothic UI"/>
        <family val="3"/>
        <charset val="128"/>
      </rPr>
      <t>`JCSC_v1.0.xlsx`</t>
    </r>
    <r>
      <rPr>
        <sz val="11"/>
        <color rgb="FFCCCCCC"/>
        <rFont val="Yu Gothic UI"/>
        <family val="3"/>
        <charset val="128"/>
      </rPr>
      <t xml:space="preserve"> を開きます。</t>
    </r>
  </si>
  <si>
    <r>
      <t>2.</t>
    </r>
    <r>
      <rPr>
        <sz val="11"/>
        <color rgb="FFCCCCCC"/>
        <rFont val="Yu Gothic UI"/>
        <family val="3"/>
        <charset val="128"/>
      </rPr>
      <t xml:space="preserve">  メインのテーブルに移動します。</t>
    </r>
  </si>
  <si>
    <r>
      <t>3.</t>
    </r>
    <r>
      <rPr>
        <sz val="11"/>
        <color rgb="FFCCCCCC"/>
        <rFont val="Yu Gothic UI"/>
        <family val="3"/>
        <charset val="128"/>
      </rPr>
      <t xml:space="preserve">  以下の列を入力します：</t>
    </r>
  </si>
  <si>
    <r>
      <t xml:space="preserve">| </t>
    </r>
    <r>
      <rPr>
        <b/>
        <sz val="11"/>
        <color rgb="FF569CD6"/>
        <rFont val="Yu Gothic UI"/>
        <family val="3"/>
        <charset val="128"/>
      </rPr>
      <t>**KeyIn**</t>
    </r>
    <r>
      <rPr>
        <sz val="11"/>
        <color rgb="FFCCCCCC"/>
        <rFont val="Yu Gothic UI"/>
        <family val="3"/>
        <charset val="128"/>
      </rPr>
      <t xml:space="preserve">     | 曲（またはそのセクション）のキーを入力します。               | </t>
    </r>
    <r>
      <rPr>
        <sz val="11"/>
        <color rgb="FFCE9178"/>
        <rFont val="Yu Gothic UI"/>
        <family val="3"/>
        <charset val="128"/>
      </rPr>
      <t>`C`</t>
    </r>
    <r>
      <rPr>
        <sz val="11"/>
        <color rgb="FFCCCCCC"/>
        <rFont val="Yu Gothic UI"/>
        <family val="3"/>
        <charset val="128"/>
      </rPr>
      <t xml:space="preserve">, </t>
    </r>
    <r>
      <rPr>
        <sz val="11"/>
        <color rgb="FFCE9178"/>
        <rFont val="Yu Gothic UI"/>
        <family val="3"/>
        <charset val="128"/>
      </rPr>
      <t>`Am`</t>
    </r>
    <r>
      <rPr>
        <sz val="11"/>
        <color rgb="FFCCCCCC"/>
        <rFont val="Yu Gothic UI"/>
        <family val="3"/>
        <charset val="128"/>
      </rPr>
      <t xml:space="preserve">, </t>
    </r>
    <r>
      <rPr>
        <sz val="11"/>
        <color rgb="FFCE9178"/>
        <rFont val="Yu Gothic UI"/>
        <family val="3"/>
        <charset val="128"/>
      </rPr>
      <t>`Gb`</t>
    </r>
    <r>
      <rPr>
        <sz val="11"/>
        <color rgb="FFCCCCCC"/>
        <rFont val="Yu Gothic UI"/>
        <family val="3"/>
        <charset val="128"/>
      </rPr>
      <t xml:space="preserve">, </t>
    </r>
    <r>
      <rPr>
        <sz val="11"/>
        <color rgb="FFCE9178"/>
        <rFont val="Yu Gothic UI"/>
        <family val="3"/>
        <charset val="128"/>
      </rPr>
      <t>`F#`</t>
    </r>
    <r>
      <rPr>
        <sz val="11"/>
        <color rgb="FFCCCCCC"/>
        <rFont val="Yu Gothic UI"/>
        <family val="3"/>
        <charset val="128"/>
      </rPr>
      <t xml:space="preserve">                   |</t>
    </r>
  </si>
  <si>
    <r>
      <t xml:space="preserve">| </t>
    </r>
    <r>
      <rPr>
        <b/>
        <sz val="11"/>
        <color rgb="FF569CD6"/>
        <rFont val="Yu Gothic UI"/>
        <family val="3"/>
        <charset val="128"/>
      </rPr>
      <t>**iChord**</t>
    </r>
    <r>
      <rPr>
        <sz val="11"/>
        <color rgb="FFCCCCCC"/>
        <rFont val="Yu Gothic UI"/>
        <family val="3"/>
        <charset val="128"/>
      </rPr>
      <t xml:space="preserve">    | コードネームを直接入力します。                               | </t>
    </r>
    <r>
      <rPr>
        <sz val="11"/>
        <color rgb="FFCE9178"/>
        <rFont val="Yu Gothic UI"/>
        <family val="3"/>
        <charset val="128"/>
      </rPr>
      <t>`Dm7`</t>
    </r>
    <r>
      <rPr>
        <sz val="11"/>
        <color rgb="FFCCCCCC"/>
        <rFont val="Yu Gothic UI"/>
        <family val="3"/>
        <charset val="128"/>
      </rPr>
      <t xml:space="preserve">, </t>
    </r>
    <r>
      <rPr>
        <sz val="11"/>
        <color rgb="FFCE9178"/>
        <rFont val="Yu Gothic UI"/>
        <family val="3"/>
        <charset val="128"/>
      </rPr>
      <t>`G7`</t>
    </r>
    <r>
      <rPr>
        <sz val="11"/>
        <color rgb="FFCCCCCC"/>
        <rFont val="Yu Gothic UI"/>
        <family val="3"/>
        <charset val="128"/>
      </rPr>
      <t xml:space="preserve">, </t>
    </r>
    <r>
      <rPr>
        <sz val="11"/>
        <color rgb="FFCE9178"/>
        <rFont val="Yu Gothic UI"/>
        <family val="3"/>
        <charset val="128"/>
      </rPr>
      <t>`Cmaj7`</t>
    </r>
    <r>
      <rPr>
        <sz val="11"/>
        <color rgb="FFCCCCCC"/>
        <rFont val="Yu Gothic UI"/>
        <family val="3"/>
        <charset val="128"/>
      </rPr>
      <t xml:space="preserve">                    |</t>
    </r>
  </si>
  <si>
    <r>
      <t xml:space="preserve">| </t>
    </r>
    <r>
      <rPr>
        <b/>
        <sz val="11"/>
        <color rgb="FF569CD6"/>
        <rFont val="Yu Gothic UI"/>
        <family val="3"/>
        <charset val="128"/>
      </rPr>
      <t>**iChordInC**</t>
    </r>
    <r>
      <rPr>
        <sz val="11"/>
        <color rgb="FFCCCCCC"/>
        <rFont val="Yu Gothic UI"/>
        <family val="3"/>
        <charset val="128"/>
      </rPr>
      <t xml:space="preserve"> | (任意) キーを C(または Am)と仮定した時のコードを入力します。 | </t>
    </r>
    <r>
      <rPr>
        <sz val="11"/>
        <color rgb="FFCE9178"/>
        <rFont val="Yu Gothic UI"/>
        <family val="3"/>
        <charset val="128"/>
      </rPr>
      <t>`Dm7`</t>
    </r>
    <r>
      <rPr>
        <sz val="11"/>
        <color rgb="FFCCCCCC"/>
        <rFont val="Yu Gothic UI"/>
        <family val="3"/>
        <charset val="128"/>
      </rPr>
      <t xml:space="preserve"> (Key が Bb の時の Cm7 を表す場合) |</t>
    </r>
  </si>
  <si>
    <r>
      <t>4.</t>
    </r>
    <r>
      <rPr>
        <sz val="11"/>
        <color rgb="FFCCCCCC"/>
        <rFont val="Yu Gothic UI"/>
        <family val="3"/>
        <charset val="128"/>
      </rPr>
      <t xml:space="preserve">  入力すると、以下の情報が自動計算されます：</t>
    </r>
  </si>
  <si>
    <r>
      <t xml:space="preserve">    </t>
    </r>
    <r>
      <rPr>
        <sz val="11"/>
        <color rgb="FF6796E6"/>
        <rFont val="Yu Gothic UI"/>
        <family val="3"/>
        <charset val="128"/>
      </rPr>
      <t>-</t>
    </r>
    <r>
      <rPr>
        <sz val="11"/>
        <color rgb="FFCCCCCC"/>
        <rFont val="Yu Gothic UI"/>
        <family val="3"/>
        <charset val="128"/>
      </rPr>
      <t xml:space="preserve"> </t>
    </r>
    <r>
      <rPr>
        <b/>
        <sz val="11"/>
        <color rgb="FF569CD6"/>
        <rFont val="Yu Gothic UI"/>
        <family val="3"/>
        <charset val="128"/>
      </rPr>
      <t>**oChord:**</t>
    </r>
    <r>
      <rPr>
        <sz val="11"/>
        <color rgb="FFCCCCCC"/>
        <rFont val="Yu Gothic UI"/>
        <family val="3"/>
        <charset val="128"/>
      </rPr>
      <t xml:space="preserve"> 実際に演奏される実音コード。</t>
    </r>
  </si>
  <si>
    <r>
      <t xml:space="preserve">    </t>
    </r>
    <r>
      <rPr>
        <sz val="11"/>
        <color rgb="FF6796E6"/>
        <rFont val="Yu Gothic UI"/>
        <family val="3"/>
        <charset val="128"/>
      </rPr>
      <t>-</t>
    </r>
    <r>
      <rPr>
        <sz val="11"/>
        <color rgb="FFCCCCCC"/>
        <rFont val="Yu Gothic UI"/>
        <family val="3"/>
        <charset val="128"/>
      </rPr>
      <t xml:space="preserve"> </t>
    </r>
    <r>
      <rPr>
        <b/>
        <sz val="11"/>
        <color rgb="FF569CD6"/>
        <rFont val="Yu Gothic UI"/>
        <family val="3"/>
        <charset val="128"/>
      </rPr>
      <t>**Roman:**</t>
    </r>
    <r>
      <rPr>
        <sz val="11"/>
        <color rgb="FFCCCCCC"/>
        <rFont val="Yu Gothic UI"/>
        <family val="3"/>
        <charset val="128"/>
      </rPr>
      <t xml:space="preserve"> ディグリーネーム（度数表記）。</t>
    </r>
  </si>
  <si>
    <r>
      <t xml:space="preserve">    </t>
    </r>
    <r>
      <rPr>
        <sz val="11"/>
        <color rgb="FF6796E6"/>
        <rFont val="Yu Gothic UI"/>
        <family val="3"/>
        <charset val="128"/>
      </rPr>
      <t>-</t>
    </r>
    <r>
      <rPr>
        <sz val="11"/>
        <color rgb="FFCCCCCC"/>
        <rFont val="Yu Gothic UI"/>
        <family val="3"/>
        <charset val="128"/>
      </rPr>
      <t xml:space="preserve"> </t>
    </r>
    <r>
      <rPr>
        <b/>
        <sz val="11"/>
        <color rgb="FF569CD6"/>
        <rFont val="Yu Gothic UI"/>
        <family val="3"/>
        <charset val="128"/>
      </rPr>
      <t>**ScaleName:**</t>
    </r>
    <r>
      <rPr>
        <sz val="11"/>
        <color rgb="FFCCCCCC"/>
        <rFont val="Yu Gothic UI"/>
        <family val="3"/>
        <charset val="128"/>
      </rPr>
      <t xml:space="preserve"> 推奨されるスケール名。</t>
    </r>
  </si>
  <si>
    <r>
      <t xml:space="preserve">    </t>
    </r>
    <r>
      <rPr>
        <sz val="11"/>
        <color rgb="FF6796E6"/>
        <rFont val="Yu Gothic UI"/>
        <family val="3"/>
        <charset val="128"/>
      </rPr>
      <t>-</t>
    </r>
    <r>
      <rPr>
        <sz val="11"/>
        <color rgb="FFCCCCCC"/>
        <rFont val="Yu Gothic UI"/>
        <family val="3"/>
        <charset val="128"/>
      </rPr>
      <t xml:space="preserve"> </t>
    </r>
    <r>
      <rPr>
        <b/>
        <sz val="11"/>
        <color rgb="FF569CD6"/>
        <rFont val="Yu Gothic UI"/>
        <family val="3"/>
        <charset val="128"/>
      </rPr>
      <t>**詳細情報:**</t>
    </r>
    <r>
      <rPr>
        <sz val="11"/>
        <color rgb="FFCCCCCC"/>
        <rFont val="Yu Gothic UI"/>
        <family val="3"/>
        <charset val="128"/>
      </rPr>
      <t xml:space="preserve"> コードトーン、ガイドトーン、スケール構成音。</t>
    </r>
  </si>
  <si>
    <r>
      <t>5.</t>
    </r>
    <r>
      <rPr>
        <sz val="11"/>
        <color rgb="FFCCCCCC"/>
        <rFont val="Yu Gothic UI"/>
        <family val="3"/>
        <charset val="128"/>
      </rPr>
      <t xml:space="preserve">  </t>
    </r>
    <r>
      <rPr>
        <b/>
        <sz val="11"/>
        <color rgb="FF569CD6"/>
        <rFont val="Yu Gothic UI"/>
        <family val="3"/>
        <charset val="128"/>
      </rPr>
      <t>**鍵盤で確認する:**</t>
    </r>
  </si>
  <si>
    <r>
      <t xml:space="preserve">    </t>
    </r>
    <r>
      <rPr>
        <sz val="11"/>
        <color rgb="FF6796E6"/>
        <rFont val="Yu Gothic UI"/>
        <family val="3"/>
        <charset val="128"/>
      </rPr>
      <t>-</t>
    </r>
    <r>
      <rPr>
        <sz val="11"/>
        <color rgb="FFCCCCCC"/>
        <rFont val="Yu Gothic UI"/>
        <family val="3"/>
        <charset val="128"/>
      </rPr>
      <t xml:space="preserve"> メインテーブルの任意の行（コード）をクリックして選択します。</t>
    </r>
  </si>
  <si>
    <r>
      <t xml:space="preserve">    </t>
    </r>
    <r>
      <rPr>
        <sz val="11"/>
        <color rgb="FF6796E6"/>
        <rFont val="Yu Gothic UI"/>
        <family val="3"/>
        <charset val="128"/>
      </rPr>
      <t>-</t>
    </r>
    <r>
      <rPr>
        <sz val="11"/>
        <color rgb="FFCCCCCC"/>
        <rFont val="Yu Gothic UI"/>
        <family val="3"/>
        <charset val="128"/>
      </rPr>
      <t xml:space="preserve"> </t>
    </r>
    <r>
      <rPr>
        <b/>
        <sz val="11"/>
        <color rgb="FF569CD6"/>
        <rFont val="Yu Gothic UI"/>
        <family val="3"/>
        <charset val="128"/>
      </rPr>
      <t>**F9**</t>
    </r>
    <r>
      <rPr>
        <sz val="11"/>
        <color rgb="FFCCCCCC"/>
        <rFont val="Yu Gothic UI"/>
        <family val="3"/>
        <charset val="128"/>
      </rPr>
      <t xml:space="preserve"> キーを押すと、鍵盤表示が更新されます。</t>
    </r>
  </si>
  <si>
    <r>
      <t xml:space="preserve">    </t>
    </r>
    <r>
      <rPr>
        <sz val="11"/>
        <color rgb="FF6796E6"/>
        <rFont val="Yu Gothic UI"/>
        <family val="3"/>
        <charset val="128"/>
      </rPr>
      <t>-</t>
    </r>
    <r>
      <rPr>
        <sz val="11"/>
        <color rgb="FFCCCCCC"/>
        <rFont val="Yu Gothic UI"/>
        <family val="3"/>
        <charset val="128"/>
      </rPr>
      <t xml:space="preserve"> </t>
    </r>
    <r>
      <rPr>
        <i/>
        <sz val="11"/>
        <color rgb="FFCCCCCC"/>
        <rFont val="Yu Gothic UI"/>
        <family val="3"/>
        <charset val="128"/>
      </rPr>
      <t>_注意:_</t>
    </r>
    <r>
      <rPr>
        <sz val="11"/>
        <color rgb="FFCCCCCC"/>
        <rFont val="Yu Gothic UI"/>
        <family val="3"/>
        <charset val="128"/>
      </rPr>
      <t xml:space="preserve"> リンク切れを防ぐため、</t>
    </r>
    <r>
      <rPr>
        <b/>
        <sz val="11"/>
        <color rgb="FF569CD6"/>
        <rFont val="Yu Gothic UI"/>
        <family val="3"/>
        <charset val="128"/>
      </rPr>
      <t>**行のコピー＆ペーストはしないでください。行を選択し、F9 を押して更新してください。**</t>
    </r>
  </si>
  <si>
    <r>
      <t xml:space="preserve">    </t>
    </r>
    <r>
      <rPr>
        <sz val="11"/>
        <color rgb="FF6796E6"/>
        <rFont val="Yu Gothic UI"/>
        <family val="3"/>
        <charset val="128"/>
      </rPr>
      <t>-</t>
    </r>
    <r>
      <rPr>
        <sz val="11"/>
        <color rgb="FFCCCCCC"/>
        <rFont val="Yu Gothic UI"/>
        <family val="3"/>
        <charset val="128"/>
      </rPr>
      <t xml:space="preserve"> 鍵盤の画像が必要な場合は、</t>
    </r>
    <r>
      <rPr>
        <b/>
        <sz val="11"/>
        <color rgb="FF569CD6"/>
        <rFont val="Yu Gothic UI"/>
        <family val="3"/>
        <charset val="128"/>
      </rPr>
      <t>**スクリーンショットを撮ってください。**</t>
    </r>
  </si>
  <si>
    <r>
      <t>-</t>
    </r>
    <r>
      <rPr>
        <sz val="11"/>
        <color rgb="FFCCCCCC"/>
        <rFont val="Yu Gothic UI"/>
        <family val="3"/>
        <charset val="128"/>
      </rPr>
      <t xml:space="preserve"> </t>
    </r>
    <r>
      <rPr>
        <b/>
        <sz val="11"/>
        <color rgb="FF569CD6"/>
        <rFont val="Yu Gothic UI"/>
        <family val="3"/>
        <charset val="128"/>
      </rPr>
      <t>**NoteDefinitions:**</t>
    </r>
    <r>
      <rPr>
        <sz val="11"/>
        <color rgb="FFCCCCCC"/>
        <rFont val="Yu Gothic UI"/>
        <family val="3"/>
        <charset val="128"/>
      </rPr>
      <t xml:space="preserve"> 12 音の定義（異名同音を含む </t>
    </r>
    <r>
      <rPr>
        <sz val="11"/>
        <color rgb="FFCE9178"/>
        <rFont val="Yu Gothic UI"/>
        <family val="3"/>
        <charset val="128"/>
      </rPr>
      <t>`C#`</t>
    </r>
    <r>
      <rPr>
        <sz val="11"/>
        <color rgb="FFCCCCCC"/>
        <rFont val="Yu Gothic UI"/>
        <family val="3"/>
        <charset val="128"/>
      </rPr>
      <t xml:space="preserve"> vs </t>
    </r>
    <r>
      <rPr>
        <sz val="11"/>
        <color rgb="FFCE9178"/>
        <rFont val="Yu Gothic UI"/>
        <family val="3"/>
        <charset val="128"/>
      </rPr>
      <t>`Db`</t>
    </r>
    <r>
      <rPr>
        <sz val="11"/>
        <color rgb="FFCCCCCC"/>
        <rFont val="Yu Gothic UI"/>
        <family val="3"/>
        <charset val="128"/>
      </rPr>
      <t xml:space="preserve">, </t>
    </r>
    <r>
      <rPr>
        <sz val="11"/>
        <color rgb="FFCE9178"/>
        <rFont val="Yu Gothic UI"/>
        <family val="3"/>
        <charset val="128"/>
      </rPr>
      <t>`F##`</t>
    </r>
    <r>
      <rPr>
        <sz val="11"/>
        <color rgb="FFCCCCCC"/>
        <rFont val="Yu Gothic UI"/>
        <family val="3"/>
        <charset val="128"/>
      </rPr>
      <t xml:space="preserve">, </t>
    </r>
    <r>
      <rPr>
        <sz val="11"/>
        <color rgb="FFCE9178"/>
        <rFont val="Yu Gothic UI"/>
        <family val="3"/>
        <charset val="128"/>
      </rPr>
      <t>`Bbb`</t>
    </r>
    <r>
      <rPr>
        <sz val="11"/>
        <color rgb="FFCCCCCC"/>
        <rFont val="Yu Gothic UI"/>
        <family val="3"/>
        <charset val="128"/>
      </rPr>
      <t xml:space="preserve"> など）。</t>
    </r>
  </si>
  <si>
    <r>
      <t>-</t>
    </r>
    <r>
      <rPr>
        <sz val="11"/>
        <color rgb="FFCCCCCC"/>
        <rFont val="Yu Gothic UI"/>
        <family val="3"/>
        <charset val="128"/>
      </rPr>
      <t xml:space="preserve"> </t>
    </r>
    <r>
      <rPr>
        <b/>
        <sz val="11"/>
        <color rgb="FF569CD6"/>
        <rFont val="Yu Gothic UI"/>
        <family val="3"/>
        <charset val="128"/>
      </rPr>
      <t>**IntervalDefinitions:**</t>
    </r>
    <r>
      <rPr>
        <sz val="11"/>
        <color rgb="FFCCCCCC"/>
        <rFont val="Yu Gothic UI"/>
        <family val="3"/>
        <charset val="128"/>
      </rPr>
      <t xml:space="preserve"> 音程と距離の管理。</t>
    </r>
  </si>
  <si>
    <r>
      <t>-</t>
    </r>
    <r>
      <rPr>
        <sz val="11"/>
        <color rgb="FFCCCCCC"/>
        <rFont val="Yu Gothic UI"/>
        <family val="3"/>
        <charset val="128"/>
      </rPr>
      <t xml:space="preserve"> </t>
    </r>
    <r>
      <rPr>
        <b/>
        <sz val="11"/>
        <color rgb="FF569CD6"/>
        <rFont val="Yu Gothic UI"/>
        <family val="3"/>
        <charset val="128"/>
      </rPr>
      <t>**ChordDefinitions:**</t>
    </r>
    <r>
      <rPr>
        <sz val="11"/>
        <color rgb="FFCCCCCC"/>
        <rFont val="Yu Gothic UI"/>
        <family val="3"/>
        <charset val="128"/>
      </rPr>
      <t xml:space="preserve"> コードシンボルの構造定義 (例: </t>
    </r>
    <r>
      <rPr>
        <sz val="11"/>
        <color rgb="FFCE9178"/>
        <rFont val="Yu Gothic UI"/>
        <family val="3"/>
        <charset val="128"/>
      </rPr>
      <t>`m7`</t>
    </r>
    <r>
      <rPr>
        <sz val="11"/>
        <color rgb="FFCCCCCC"/>
        <rFont val="Yu Gothic UI"/>
        <family val="3"/>
        <charset val="128"/>
      </rPr>
      <t xml:space="preserve"> = R, m3, 5, m7)。</t>
    </r>
  </si>
  <si>
    <r>
      <t>-</t>
    </r>
    <r>
      <rPr>
        <sz val="11"/>
        <color rgb="FFCCCCCC"/>
        <rFont val="Yu Gothic UI"/>
        <family val="3"/>
        <charset val="128"/>
      </rPr>
      <t xml:space="preserve"> </t>
    </r>
    <r>
      <rPr>
        <b/>
        <sz val="11"/>
        <color rgb="FF569CD6"/>
        <rFont val="Yu Gothic UI"/>
        <family val="3"/>
        <charset val="128"/>
      </rPr>
      <t>**ScaleDefinitions:**</t>
    </r>
    <r>
      <rPr>
        <sz val="11"/>
        <color rgb="FFCCCCCC"/>
        <rFont val="Yu Gothic UI"/>
        <family val="3"/>
        <charset val="128"/>
      </rPr>
      <t xml:space="preserve"> スケールの音程構成とアボイドノートの定義。</t>
    </r>
  </si>
  <si>
    <r>
      <t>-</t>
    </r>
    <r>
      <rPr>
        <sz val="11"/>
        <color rgb="FFCCCCCC"/>
        <rFont val="Yu Gothic UI"/>
        <family val="3"/>
        <charset val="128"/>
      </rPr>
      <t xml:space="preserve"> </t>
    </r>
    <r>
      <rPr>
        <b/>
        <sz val="11"/>
        <color rgb="FF569CD6"/>
        <rFont val="Yu Gothic UI"/>
        <family val="3"/>
        <charset val="128"/>
      </rPr>
      <t>**ScaleAssignmentRules:**</t>
    </r>
    <r>
      <rPr>
        <sz val="11"/>
        <color rgb="FFCCCCCC"/>
        <rFont val="Yu Gothic UI"/>
        <family val="3"/>
        <charset val="128"/>
      </rPr>
      <t xml:space="preserve"> 「キーの文脈」＋「コードの度数」を正しい「スケール」にマッピングするロジックエンジン。</t>
    </r>
  </si>
  <si>
    <r>
      <t>-</t>
    </r>
    <r>
      <rPr>
        <sz val="11"/>
        <color rgb="FFCCCCCC"/>
        <rFont val="Yu Gothic UI"/>
        <family val="3"/>
        <charset val="128"/>
      </rPr>
      <t xml:space="preserve"> </t>
    </r>
    <r>
      <rPr>
        <b/>
        <sz val="11"/>
        <color rgb="FF569CD6"/>
        <rFont val="Yu Gothic UI"/>
        <family val="3"/>
        <charset val="128"/>
      </rPr>
      <t>**極端な理論的ケース:**</t>
    </r>
    <r>
      <rPr>
        <sz val="11"/>
        <color rgb="FFCCCCCC"/>
        <rFont val="Yu Gothic UI"/>
        <family val="3"/>
        <charset val="128"/>
      </rPr>
      <t xml:space="preserve"> ダブル/トリプルシャープ等に対応していますが、特定のキーにおいて理論上定義不能なコード（例: </t>
    </r>
    <r>
      <rPr>
        <sz val="11"/>
        <color rgb="FFCE9178"/>
        <rFont val="Yu Gothic UI"/>
        <family val="3"/>
        <charset val="128"/>
      </rPr>
      <t>`G#`</t>
    </r>
    <r>
      <rPr>
        <sz val="11"/>
        <color rgb="FFCCCCCC"/>
        <rFont val="Yu Gothic UI"/>
        <family val="3"/>
        <charset val="128"/>
      </rPr>
      <t xml:space="preserve">キーにおける </t>
    </r>
    <r>
      <rPr>
        <sz val="11"/>
        <color rgb="FFCE9178"/>
        <rFont val="Yu Gothic UI"/>
        <family val="3"/>
        <charset val="128"/>
      </rPr>
      <t>`Gbm7`</t>
    </r>
    <r>
      <rPr>
        <sz val="11"/>
        <color rgb="FFCCCCCC"/>
        <rFont val="Yu Gothic UI"/>
        <family val="3"/>
        <charset val="128"/>
      </rPr>
      <t>）は、理論的整合性を保つためにエラーを返します。これは仕様です。</t>
    </r>
  </si>
  <si>
    <t>JCSC is a powerful Excel-based tool designed to analyze Jazz chord progressions instantly.</t>
    <phoneticPr fontId="1"/>
  </si>
  <si>
    <t xml:space="preserve">It calculates the theoretically correct Scales, Chord Tones, Guide Tones, and Avoid Notes based on the relationship between the Key and the Chord. </t>
    <phoneticPr fontId="1"/>
  </si>
  <si>
    <t>It now features an interactive keyboard display to visualize chord and scale tones.</t>
    <phoneticPr fontId="1"/>
  </si>
  <si>
    <r>
      <rPr>
        <sz val="11"/>
        <color rgb="FF6796E6"/>
        <rFont val="Consolas"/>
        <family val="3"/>
      </rPr>
      <t>-</t>
    </r>
    <r>
      <rPr>
        <sz val="11"/>
        <color rgb="FFCCCCCC"/>
        <rFont val="Consolas"/>
        <family val="3"/>
      </rPr>
      <t xml:space="preserve"> </t>
    </r>
    <r>
      <rPr>
        <b/>
        <sz val="11"/>
        <color rgb="FF569CD6"/>
        <rFont val="Consolas"/>
        <family val="3"/>
      </rPr>
      <t>**Context-Aware Scale Selection:**</t>
    </r>
    <r>
      <rPr>
        <sz val="11"/>
        <color rgb="FFCCCCCC"/>
        <rFont val="Consolas"/>
        <family val="3"/>
      </rPr>
      <t xml:space="preserve"> Automatically determines the best scale </t>
    </r>
    <phoneticPr fontId="1"/>
  </si>
  <si>
    <t>(e.g., Dorian, Mixolydian, Lydian Dominant, Altered) based on the harmonic function (Tonic/Sub-Dominant/Dominant) within the Key.</t>
    <phoneticPr fontId="1"/>
  </si>
  <si>
    <r>
      <rPr>
        <sz val="11"/>
        <color rgb="FF6796E6"/>
        <rFont val="Consolas"/>
        <family val="3"/>
      </rPr>
      <t>-</t>
    </r>
    <r>
      <rPr>
        <sz val="11"/>
        <color rgb="FFCCCCCC"/>
        <rFont val="Consolas"/>
        <family val="3"/>
      </rPr>
      <t xml:space="preserve"> </t>
    </r>
    <r>
      <rPr>
        <b/>
        <sz val="11"/>
        <color rgb="FF569CD6"/>
        <rFont val="Consolas"/>
        <family val="3"/>
      </rPr>
      <t>**Extreme Theoretical Concepts:**</t>
    </r>
    <r>
      <rPr>
        <sz val="11"/>
        <color rgb="FFCCCCCC"/>
        <rFont val="Consolas"/>
        <family val="3"/>
      </rPr>
      <t xml:space="preserve"> While it handles double/triple accidentals, chords that are theoretically impossible within a specific key context </t>
    </r>
    <phoneticPr fontId="1"/>
  </si>
  <si>
    <t>(e.g., `Gbm7` in the key of `G#`) may return logic errors. This is by design to maintain theoretical integrity.</t>
  </si>
  <si>
    <t>## License</t>
  </si>
  <si>
    <t>MIT License</t>
  </si>
  <si>
    <t>Copyright (c) 2025 GoodRelax</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</si>
  <si>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</si>
  <si>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</si>
  <si>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</si>
  <si>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</si>
  <si>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</si>
  <si>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</si>
  <si>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</si>
  <si>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</si>
  <si>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</si>
  <si>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</si>
  <si>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</si>
  <si>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</si>
  <si>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</si>
  <si>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</si>
  <si>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</si>
  <si>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License (Japanese)</t>
    <phoneticPr fontId="1"/>
  </si>
  <si>
    <t>MIT ライセンス</t>
  </si>
  <si>
    <t>本ソフトウェアおよび関連するドキュメントファイル（以下「ソフトウェア」）の</t>
  </si>
  <si>
    <t>複製を取得したすべての人に対し、以下の条件に従うことを前提として、</t>
  </si>
  <si>
    <t>無償で、本ソフトウェアを制限なく取り扱うことを許可します。</t>
  </si>
  <si>
    <t>これには、使用、複製、改変、結合、公開、配布、サブライセンス、</t>
  </si>
  <si>
    <t>および／または販売する権利、ならびに、</t>
  </si>
  <si>
    <t>ソフトウェアを提供された人に同様の行為を許可する権利が含まれますが、</t>
  </si>
  <si>
    <t>これらに限定されません。</t>
  </si>
  <si>
    <t>上記の著作権表示および本許諾表示は、</t>
  </si>
  <si>
    <t>本ソフトウェアのすべての複製物または重要な部分に</t>
  </si>
  <si>
    <t>記載されなければなりません。</t>
  </si>
  <si>
    <t>本ソフトウェアは「現状のまま」で提供され、</t>
  </si>
  <si>
    <t>商品性、特定目的への適合性、および非侵害性に関する保証を含め、</t>
  </si>
  <si>
    <t>明示または黙示を問わず、いかなる保証も行いません。</t>
  </si>
  <si>
    <t>著作者または著作権者は、契約行為、不法行為、またはその他のいかなる理由によっても、</t>
  </si>
  <si>
    <t>本ソフトウェアまたはその使用もしくはその他の取扱いに起因または関連して生じる</t>
  </si>
  <si>
    <t>いかなる請求、損害、その他の責任についても一切責任を負いません。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</si>
</sst>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游ゴシック"/>
      <family val="2"/>
      <scheme val="minor"/>
    </font>
    <font>
      <sz val="6"/>
      <name val="游ゴシック"/>
      <family val="3"/>
      <charset val="128"/>
      <scheme val="minor"/>
    </font>
    <font>
      <b/>
      <sz val="11"/>
      <color theme="1"/>
      <name val="Consolas"/>
      <family val="3"/>
    </font>
    <font>
      <sz val="11"/>
      <color theme="1"/>
      <name val="Consolas"/>
      <family val="3"/>
    </font>
    <font>
      <sz val="11"/>
      <color theme="1" tint="-0.499984740745262"/>
      <name val="Consolas"/>
      <family val="3"/>
    </font>
    <font>
      <sz val="18"/>
      <color theme="1"/>
      <name val="Consolas"/>
      <family val="3"/>
    </font>
    <font>
      <sz val="36"/>
      <color theme="2" tint="-9.9978637043366805E-2"/>
      <name val="Consolas"/>
      <family val="3"/>
    </font>
    <font>
      <sz val="9"/>
      <color theme="1" tint="-0.499984740745262"/>
      <name val="Consolas"/>
      <family val="3"/>
    </font>
    <font>
      <b/>
      <sz val="14"/>
      <color theme="1"/>
      <name val="Consolas"/>
      <family val="3"/>
    </font>
    <font>
      <sz val="24"/>
      <color theme="1"/>
      <name val="Consolas"/>
      <family val="3"/>
    </font>
    <font>
      <b/>
      <sz val="16"/>
      <color theme="1"/>
      <name val="Consolas"/>
      <family val="3"/>
    </font>
    <font>
      <sz val="11"/>
      <color rgb="FFCCCCCC"/>
      <name val="Consolas"/>
      <family val="3"/>
    </font>
    <font>
      <b/>
      <sz val="11"/>
      <color rgb="FF569CD6"/>
      <name val="Consolas"/>
      <family val="3"/>
    </font>
    <font>
      <sz val="11"/>
      <color rgb="FF6796E6"/>
      <name val="Consolas"/>
      <family val="3"/>
    </font>
    <font>
      <i/>
      <sz val="11"/>
      <color rgb="FFCCCCCC"/>
      <name val="Consolas"/>
      <family val="3"/>
    </font>
    <font>
      <sz val="11"/>
      <color rgb="FFCE9178"/>
      <name val="Consolas"/>
      <family val="3"/>
    </font>
    <font>
      <b/>
      <sz val="11"/>
      <color rgb="FF569CD6"/>
      <name val="Yu Gothic UI"/>
      <family val="3"/>
      <charset val="128"/>
    </font>
    <font>
      <sz val="11"/>
      <color theme="1"/>
      <name val="Yu Gothic UI"/>
      <family val="3"/>
      <charset val="128"/>
    </font>
    <font>
      <sz val="11"/>
      <color rgb="FFCCCCCC"/>
      <name val="Yu Gothic UI"/>
      <family val="3"/>
      <charset val="128"/>
    </font>
    <font>
      <sz val="11"/>
      <color rgb="FF6796E6"/>
      <name val="Yu Gothic UI"/>
      <family val="3"/>
      <charset val="128"/>
    </font>
    <font>
      <i/>
      <sz val="11"/>
      <color rgb="FFCCCCCC"/>
      <name val="Yu Gothic UI"/>
      <family val="3"/>
      <charset val="128"/>
    </font>
    <font>
      <sz val="11"/>
      <color rgb="FFCE9178"/>
      <name val="Yu Gothic UI"/>
      <family val="3"/>
      <charset val="128"/>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89999084444715716"/>
        <bgColor indexed="64"/>
      </patternFill>
    </fill>
    <fill>
      <patternFill patternType="solid">
        <fgColor rgb="FF1F1F1F"/>
        <bgColor indexed="64"/>
      </patternFill>
    </fill>
  </fills>
  <borders count="11">
    <border>
      <left/>
      <right/>
      <top/>
      <bottom/>
      <diagonal/>
    </border>
    <border>
      <left/>
      <right style="thick">
        <color auto="1"/>
      </right>
      <top/>
      <bottom/>
      <diagonal/>
    </border>
    <border>
      <left style="thick">
        <color auto="1"/>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ashed">
        <color theme="3"/>
      </left>
      <right/>
      <top style="dashed">
        <color theme="3"/>
      </top>
      <bottom/>
      <diagonal/>
    </border>
    <border>
      <left/>
      <right style="dashed">
        <color theme="3"/>
      </right>
      <top/>
      <bottom style="dashed">
        <color theme="3"/>
      </bottom>
      <diagonal/>
    </border>
  </borders>
  <cellStyleXfs count="1">
    <xf numFmtId="0" fontId="0" fillId="2" borderId="0"/>
  </cellStyleXfs>
  <cellXfs count="54">
    <xf numFmtId="0" fontId="0" fillId="2" borderId="0" xfId="0"/>
    <xf numFmtId="0" fontId="2" fillId="2" borderId="0" xfId="0" applyFont="1"/>
    <xf numFmtId="0" fontId="3" fillId="2" borderId="0" xfId="0" applyFont="1"/>
    <xf numFmtId="0" fontId="3" fillId="2" borderId="0" xfId="0" applyFont="1" applyAlignment="1">
      <alignment vertical="top"/>
    </xf>
    <xf numFmtId="0" fontId="3" fillId="2" borderId="0" xfId="0" quotePrefix="1" applyFont="1"/>
    <xf numFmtId="0" fontId="3" fillId="2" borderId="0" xfId="0" applyFont="1" applyAlignment="1">
      <alignment vertical="top" wrapText="1"/>
    </xf>
    <xf numFmtId="0" fontId="4" fillId="2" borderId="0" xfId="0" applyFont="1"/>
    <xf numFmtId="0" fontId="3" fillId="2" borderId="0" xfId="0" applyFont="1" applyAlignment="1">
      <alignment horizontal="left"/>
    </xf>
    <xf numFmtId="0" fontId="3" fillId="2" borderId="0" xfId="0" applyFont="1" applyProtection="1">
      <protection locked="0"/>
    </xf>
    <xf numFmtId="0" fontId="4" fillId="2" borderId="0" xfId="0" applyFont="1" applyProtection="1">
      <protection locked="0"/>
    </xf>
    <xf numFmtId="0" fontId="2" fillId="3" borderId="0" xfId="0" applyFont="1" applyFill="1"/>
    <xf numFmtId="0" fontId="2" fillId="3" borderId="0" xfId="0" applyFont="1" applyFill="1" applyProtection="1">
      <protection locked="0"/>
    </xf>
    <xf numFmtId="49" fontId="3" fillId="2" borderId="0" xfId="0" applyNumberFormat="1" applyFont="1"/>
    <xf numFmtId="49" fontId="3" fillId="2" borderId="0" xfId="0" quotePrefix="1" applyNumberFormat="1" applyFont="1"/>
    <xf numFmtId="0" fontId="3" fillId="2" borderId="0" xfId="0" applyFont="1" applyAlignment="1">
      <alignment horizontal="right"/>
    </xf>
    <xf numFmtId="0" fontId="3" fillId="2" borderId="0" xfId="0" applyFont="1" applyAlignment="1">
      <alignment horizontal="center"/>
    </xf>
    <xf numFmtId="0" fontId="0" fillId="4" borderId="0" xfId="0" applyFill="1"/>
    <xf numFmtId="0" fontId="0" fillId="5" borderId="0" xfId="0" applyFill="1"/>
    <xf numFmtId="0" fontId="0" fillId="4" borderId="1" xfId="0" applyFill="1" applyBorder="1"/>
    <xf numFmtId="0" fontId="0" fillId="4"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2" xfId="0" applyFill="1" applyBorder="1"/>
    <xf numFmtId="0" fontId="0" fillId="5" borderId="1" xfId="0" applyFill="1" applyBorder="1"/>
    <xf numFmtId="0" fontId="0" fillId="5" borderId="6" xfId="0" applyFill="1" applyBorder="1"/>
    <xf numFmtId="0" fontId="0" fillId="5" borderId="7" xfId="0" applyFill="1" applyBorder="1"/>
    <xf numFmtId="0" fontId="0" fillId="5" borderId="8" xfId="0" applyFill="1" applyBorder="1"/>
    <xf numFmtId="0" fontId="0" fillId="4" borderId="8" xfId="0" applyFill="1" applyBorder="1"/>
    <xf numFmtId="0" fontId="0" fillId="4" borderId="5" xfId="0" applyFill="1" applyBorder="1"/>
    <xf numFmtId="0" fontId="0" fillId="4" borderId="3" xfId="0" applyFill="1" applyBorder="1"/>
    <xf numFmtId="0" fontId="0" fillId="4" borderId="4" xfId="0" applyFill="1" applyBorder="1"/>
    <xf numFmtId="0" fontId="0" fillId="4" borderId="6" xfId="0" applyFill="1" applyBorder="1"/>
    <xf numFmtId="0" fontId="0" fillId="4" borderId="7" xfId="0" applyFill="1" applyBorder="1"/>
    <xf numFmtId="0" fontId="6" fillId="2" borderId="0" xfId="0" applyFont="1" applyAlignment="1">
      <alignment horizontal="centerContinuous"/>
    </xf>
    <xf numFmtId="0" fontId="6" fillId="2" borderId="0" xfId="0" applyFont="1" applyAlignment="1">
      <alignment horizontal="center"/>
    </xf>
    <xf numFmtId="0" fontId="3" fillId="2" borderId="9" xfId="0" applyFont="1" applyBorder="1"/>
    <xf numFmtId="0" fontId="3" fillId="2" borderId="10" xfId="0" applyFont="1" applyBorder="1"/>
    <xf numFmtId="0" fontId="7" fillId="2" borderId="0" xfId="0" applyFont="1"/>
    <xf numFmtId="0" fontId="8" fillId="2" borderId="0" xfId="0" applyFont="1"/>
    <xf numFmtId="0" fontId="5" fillId="2" borderId="0" xfId="0" applyFont="1" applyAlignment="1">
      <alignment horizontal="center"/>
    </xf>
    <xf numFmtId="0" fontId="9" fillId="2" borderId="0" xfId="0" applyFont="1" applyAlignment="1">
      <alignment vertical="top"/>
    </xf>
    <xf numFmtId="0" fontId="10" fillId="2" borderId="0" xfId="0" applyFont="1"/>
    <xf numFmtId="49" fontId="0" fillId="2" borderId="0" xfId="0" applyNumberFormat="1"/>
    <xf numFmtId="0" fontId="12" fillId="2" borderId="0" xfId="0" applyFont="1" applyAlignment="1">
      <alignment vertical="center"/>
    </xf>
    <xf numFmtId="0" fontId="0" fillId="6" borderId="0" xfId="0" applyFill="1" applyAlignment="1">
      <alignment vertical="center"/>
    </xf>
    <xf numFmtId="0" fontId="11" fillId="2" borderId="0" xfId="0" applyFont="1" applyAlignment="1">
      <alignment vertical="center"/>
    </xf>
    <xf numFmtId="0" fontId="13" fillId="2" borderId="0" xfId="0" applyFont="1" applyAlignment="1">
      <alignment vertical="center"/>
    </xf>
    <xf numFmtId="0" fontId="16" fillId="2" borderId="0" xfId="0" applyFont="1" applyAlignment="1">
      <alignment vertical="center"/>
    </xf>
    <xf numFmtId="49" fontId="17" fillId="2" borderId="0" xfId="0" applyNumberFormat="1" applyFont="1"/>
    <xf numFmtId="0" fontId="18" fillId="2" borderId="0" xfId="0" applyFont="1" applyAlignment="1">
      <alignment vertical="center"/>
    </xf>
    <xf numFmtId="0" fontId="19" fillId="2" borderId="0" xfId="0" applyFont="1" applyAlignment="1">
      <alignment vertical="center"/>
    </xf>
    <xf numFmtId="0" fontId="17" fillId="6" borderId="0" xfId="0" applyFont="1" applyFill="1" applyAlignment="1">
      <alignment vertical="center"/>
    </xf>
    <xf numFmtId="0" fontId="11" fillId="2" borderId="0" xfId="0" quotePrefix="1" applyFont="1" applyAlignment="1">
      <alignment vertical="center"/>
    </xf>
  </cellXfs>
  <cellStyles count="1">
    <cellStyle name="Normal" xfId="0" builtinId="0" customBuiltin="1"/>
  </cellStyles>
  <dxfs count="121">
    <dxf>
      <fill>
        <patternFill>
          <bgColor theme="4" tint="-0.24994659260841701"/>
        </patternFill>
      </fill>
    </dxf>
    <dxf>
      <fill>
        <patternFill>
          <bgColor theme="4" tint="-0.499984740745262"/>
        </patternFill>
      </fill>
    </dxf>
    <dxf>
      <fill>
        <patternFill>
          <bgColor theme="4"/>
        </patternFill>
      </fill>
    </dxf>
    <dxf>
      <fill>
        <patternFill>
          <bgColor theme="5" tint="-0.499984740745262"/>
        </patternFill>
      </fill>
    </dxf>
    <dxf>
      <fill>
        <patternFill>
          <bgColor rgb="FFC00000"/>
        </patternFill>
      </fill>
    </dxf>
    <dxf>
      <font>
        <strike val="0"/>
        <outline val="0"/>
        <shadow val="0"/>
        <u val="none"/>
        <vertAlign val="baseline"/>
        <sz val="11"/>
        <color theme="1"/>
        <name val="Consolas"/>
        <family val="3"/>
        <scheme val="none"/>
      </font>
      <numFmt numFmtId="30" formatCode="@"/>
    </dxf>
    <dxf>
      <font>
        <b val="0"/>
        <i val="0"/>
        <strike val="0"/>
        <condense val="0"/>
        <extend val="0"/>
        <outline val="0"/>
        <shadow val="0"/>
        <u val="none"/>
        <vertAlign val="baseline"/>
        <sz val="11"/>
        <color theme="1"/>
        <name val="Consolas"/>
        <family val="3"/>
        <scheme val="none"/>
      </font>
      <numFmt numFmtId="0" formatCode="General"/>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numFmt numFmtId="30" formatCode="@"/>
    </dxf>
    <dxf>
      <font>
        <strike val="0"/>
        <outline val="0"/>
        <shadow val="0"/>
        <u val="none"/>
        <vertAlign val="baseline"/>
        <sz val="11"/>
        <color theme="1"/>
        <name val="Consolas"/>
        <family val="3"/>
        <scheme val="none"/>
      </font>
      <alignment horizontal="general" vertical="top" textRotation="0" wrapText="0" indent="0" justifyLastLine="0" shrinkToFit="0" readingOrder="0"/>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alignment horizontal="general" vertical="top" textRotation="0" wrapText="0" indent="0" justifyLastLine="0" shrinkToFit="0" readingOrder="0"/>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alignment horizontal="general" vertical="top" textRotation="0" wrapText="1" indent="0" justifyLastLine="0" shrinkToFit="0" readingOrder="0"/>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alignment horizontal="general" vertical="top" textRotation="0" wrapText="1" indent="0" justifyLastLine="0" shrinkToFit="0" readingOrder="0"/>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dxf>
    <dxf>
      <font>
        <strike val="0"/>
        <outline val="0"/>
        <shadow val="0"/>
        <u val="none"/>
        <vertAlign val="baseline"/>
        <sz val="11"/>
        <color theme="1"/>
        <name val="Consolas"/>
        <family val="3"/>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numFmt numFmtId="0" formatCode="General"/>
      <protection locked="1" hidden="0"/>
    </dxf>
    <dxf>
      <font>
        <b val="0"/>
        <i val="0"/>
        <strike val="0"/>
        <condense val="0"/>
        <extend val="0"/>
        <outline val="0"/>
        <shadow val="0"/>
        <u val="none"/>
        <vertAlign val="baseline"/>
        <sz val="11"/>
        <color theme="1"/>
        <name val="Consolas"/>
        <family val="3"/>
        <scheme val="none"/>
      </font>
      <protection locked="0" hidden="0"/>
    </dxf>
    <dxf>
      <font>
        <b val="0"/>
        <i val="0"/>
        <strike val="0"/>
        <condense val="0"/>
        <extend val="0"/>
        <outline val="0"/>
        <shadow val="0"/>
        <u val="none"/>
        <vertAlign val="baseline"/>
        <sz val="11"/>
        <color theme="1" tint="-0.499984740745262"/>
        <name val="Consolas"/>
        <family val="3"/>
        <scheme val="none"/>
      </font>
      <numFmt numFmtId="0" formatCode="General"/>
      <protection locked="1" hidden="0"/>
    </dxf>
    <dxf>
      <font>
        <strike val="0"/>
        <outline val="0"/>
        <shadow val="0"/>
        <u val="none"/>
        <vertAlign val="baseline"/>
        <sz val="11"/>
        <color theme="1" tint="-0.499984740745262"/>
        <name val="Consolas"/>
        <family val="3"/>
        <scheme val="none"/>
      </font>
      <protection locked="0"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0"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0" hidden="0"/>
    </dxf>
    <dxf>
      <font>
        <b val="0"/>
        <i val="0"/>
        <strike val="0"/>
        <condense val="0"/>
        <extend val="0"/>
        <outline val="0"/>
        <shadow val="0"/>
        <u val="none"/>
        <vertAlign val="baseline"/>
        <sz val="11"/>
        <color theme="1"/>
        <name val="Consolas"/>
        <family val="3"/>
        <scheme val="none"/>
      </font>
      <protection locked="0" hidden="0"/>
    </dxf>
    <dxf>
      <font>
        <strike val="0"/>
        <outline val="0"/>
        <shadow val="0"/>
        <u val="none"/>
        <vertAlign val="baseline"/>
        <sz val="11"/>
        <color theme="1"/>
        <name val="Consolas"/>
        <family val="3"/>
        <scheme val="none"/>
      </font>
      <protection locked="1" hidden="0"/>
    </dxf>
    <dxf>
      <border>
        <bottom style="thin">
          <color rgb="FF9BC2E6"/>
        </bottom>
      </border>
    </dxf>
    <dxf>
      <font>
        <strike val="0"/>
        <outline val="0"/>
        <shadow val="0"/>
        <u val="none"/>
        <vertAlign val="baseline"/>
        <sz val="11"/>
        <color theme="1"/>
        <name val="Consolas"/>
        <family val="3"/>
        <scheme val="none"/>
      </font>
      <protection locked="1" hidden="0"/>
    </dxf>
    <dxf>
      <font>
        <color theme="1"/>
      </font>
      <fill>
        <patternFill>
          <bgColor theme="0" tint="-4.9989318521683403E-2"/>
        </patternFill>
      </fill>
      <border>
        <left style="thin">
          <color theme="2"/>
        </left>
        <right style="thin">
          <color theme="2"/>
        </right>
        <top style="thin">
          <color theme="2"/>
        </top>
        <bottom style="thin">
          <color theme="2"/>
        </bottom>
        <horizontal style="thin">
          <color theme="2"/>
        </horizontal>
      </border>
    </dxf>
    <dxf>
      <font>
        <color theme="1"/>
      </font>
      <fill>
        <patternFill>
          <bgColor theme="0"/>
        </patternFill>
      </fill>
      <border diagonalUp="0" diagonalDown="0">
        <left style="thin">
          <color theme="2"/>
        </left>
        <right style="thin">
          <color theme="2"/>
        </right>
        <top style="thin">
          <color theme="2"/>
        </top>
        <bottom style="thin">
          <color theme="2"/>
        </bottom>
        <vertical/>
        <horizontal style="thin">
          <color theme="2"/>
        </horizontal>
      </border>
    </dxf>
    <dxf>
      <font>
        <b val="0"/>
        <i val="0"/>
        <color theme="1"/>
      </font>
      <fill>
        <patternFill>
          <bgColor theme="0" tint="-0.24994659260841701"/>
        </patternFill>
      </fill>
      <border diagonalUp="0" diagonalDown="0">
        <left style="thin">
          <color theme="2"/>
        </left>
        <right style="thin">
          <color theme="2"/>
        </right>
        <top style="thin">
          <color theme="2"/>
        </top>
        <bottom style="thin">
          <color theme="2"/>
        </bottom>
        <vertical/>
        <horizontal style="thin">
          <color theme="2"/>
        </horizontal>
      </border>
    </dxf>
  </dxfs>
  <tableStyles count="1" defaultTableStyle="TableStyleMedium2" defaultPivotStyle="PivotStyleLight16">
    <tableStyle name="GoodRelax" pivot="0" count="3" xr9:uid="{774B65CF-B7F5-47F4-B96E-7CB8C7BF24A2}">
      <tableStyleElement type="headerRow" dxfId="120"/>
      <tableStyleElement type="firstRowStripe" dxfId="119"/>
      <tableStyleElement type="secondRowStripe" dxfId="118"/>
    </tableStyle>
  </tableStyles>
  <colors>
    <mruColors>
      <color rgb="FF9BC2E6"/>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834259</xdr:colOff>
          <xdr:row>1</xdr:row>
          <xdr:rowOff>0</xdr:rowOff>
        </xdr:from>
        <xdr:to>
          <xdr:col>25</xdr:col>
          <xdr:colOff>407274</xdr:colOff>
          <xdr:row>8</xdr:row>
          <xdr:rowOff>0</xdr:rowOff>
        </xdr:to>
        <xdr:pic>
          <xdr:nvPicPr>
            <xdr:cNvPr id="3" name="Picture 2">
              <a:extLst>
                <a:ext uri="{FF2B5EF4-FFF2-40B4-BE49-F238E27FC236}">
                  <a16:creationId xmlns:a16="http://schemas.microsoft.com/office/drawing/2014/main" id="{310553F2-3CCF-4138-01A5-E43FAFE438AA}"/>
                </a:ext>
              </a:extLst>
            </xdr:cNvPr>
            <xdr:cNvPicPr>
              <a:picLocks noChangeAspect="1" noChangeArrowheads="1"/>
              <a:extLst>
                <a:ext uri="{84589F7E-364E-4C9E-8A38-B11213B215E9}">
                  <a14:cameraTool cellRange="Keyboard!$M$1:$JD$22" spid="_x0000_s4135"/>
                </a:ext>
              </a:extLst>
            </xdr:cNvPicPr>
          </xdr:nvPicPr>
          <xdr:blipFill>
            <a:blip xmlns:r="http://schemas.openxmlformats.org/officeDocument/2006/relationships" r:embed="rId1"/>
            <a:srcRect/>
            <a:stretch>
              <a:fillRect/>
            </a:stretch>
          </xdr:blipFill>
          <xdr:spPr bwMode="auto">
            <a:xfrm>
              <a:off x="2857500" y="216776"/>
              <a:ext cx="8638188" cy="151743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xdr:rowOff>
    </xdr:from>
    <xdr:to>
      <xdr:col>15</xdr:col>
      <xdr:colOff>356561</xdr:colOff>
      <xdr:row>8</xdr:row>
      <xdr:rowOff>106013</xdr:rowOff>
    </xdr:to>
    <xdr:pic>
      <xdr:nvPicPr>
        <xdr:cNvPr id="16" name="Picture 15">
          <a:extLst>
            <a:ext uri="{FF2B5EF4-FFF2-40B4-BE49-F238E27FC236}">
              <a16:creationId xmlns:a16="http://schemas.microsoft.com/office/drawing/2014/main" id="{92B1D858-DCD5-09A6-68D7-A689DE7E22FE}"/>
            </a:ext>
          </a:extLst>
        </xdr:cNvPr>
        <xdr:cNvPicPr>
          <a:picLocks noChangeAspect="1"/>
        </xdr:cNvPicPr>
      </xdr:nvPicPr>
      <xdr:blipFill>
        <a:blip xmlns:r="http://schemas.openxmlformats.org/officeDocument/2006/relationships" r:embed="rId1"/>
        <a:stretch>
          <a:fillRect/>
        </a:stretch>
      </xdr:blipFill>
      <xdr:spPr>
        <a:xfrm>
          <a:off x="692727" y="484910"/>
          <a:ext cx="10054743" cy="1560739"/>
        </a:xfrm>
        <a:prstGeom prst="rect">
          <a:avLst/>
        </a:prstGeom>
      </xdr:spPr>
    </xdr:pic>
    <xdr:clientData/>
  </xdr:twoCellAnchor>
  <xdr:twoCellAnchor editAs="oneCell">
    <xdr:from>
      <xdr:col>1</xdr:col>
      <xdr:colOff>0</xdr:colOff>
      <xdr:row>8</xdr:row>
      <xdr:rowOff>0</xdr:rowOff>
    </xdr:from>
    <xdr:to>
      <xdr:col>15</xdr:col>
      <xdr:colOff>356561</xdr:colOff>
      <xdr:row>14</xdr:row>
      <xdr:rowOff>106013</xdr:rowOff>
    </xdr:to>
    <xdr:pic>
      <xdr:nvPicPr>
        <xdr:cNvPr id="18" name="Picture 17">
          <a:extLst>
            <a:ext uri="{FF2B5EF4-FFF2-40B4-BE49-F238E27FC236}">
              <a16:creationId xmlns:a16="http://schemas.microsoft.com/office/drawing/2014/main" id="{45C42AE5-FCB7-77B8-9B1B-2DD3E409A799}"/>
            </a:ext>
          </a:extLst>
        </xdr:cNvPr>
        <xdr:cNvPicPr>
          <a:picLocks noChangeAspect="1"/>
        </xdr:cNvPicPr>
      </xdr:nvPicPr>
      <xdr:blipFill>
        <a:blip xmlns:r="http://schemas.openxmlformats.org/officeDocument/2006/relationships" r:embed="rId2"/>
        <a:stretch>
          <a:fillRect/>
        </a:stretch>
      </xdr:blipFill>
      <xdr:spPr>
        <a:xfrm>
          <a:off x="692727" y="1939636"/>
          <a:ext cx="10054743" cy="1560741"/>
        </a:xfrm>
        <a:prstGeom prst="rect">
          <a:avLst/>
        </a:prstGeom>
      </xdr:spPr>
    </xdr:pic>
    <xdr:clientData/>
  </xdr:twoCellAnchor>
  <xdr:twoCellAnchor editAs="oneCell">
    <xdr:from>
      <xdr:col>16</xdr:col>
      <xdr:colOff>0</xdr:colOff>
      <xdr:row>2</xdr:row>
      <xdr:rowOff>0</xdr:rowOff>
    </xdr:from>
    <xdr:to>
      <xdr:col>30</xdr:col>
      <xdr:colOff>356561</xdr:colOff>
      <xdr:row>8</xdr:row>
      <xdr:rowOff>96812</xdr:rowOff>
    </xdr:to>
    <xdr:pic>
      <xdr:nvPicPr>
        <xdr:cNvPr id="19" name="Picture 18">
          <a:extLst>
            <a:ext uri="{FF2B5EF4-FFF2-40B4-BE49-F238E27FC236}">
              <a16:creationId xmlns:a16="http://schemas.microsoft.com/office/drawing/2014/main" id="{AE5A4237-461A-0A53-71F6-7DDFFD8EE190}"/>
            </a:ext>
          </a:extLst>
        </xdr:cNvPr>
        <xdr:cNvPicPr>
          <a:picLocks noChangeAspect="1"/>
        </xdr:cNvPicPr>
      </xdr:nvPicPr>
      <xdr:blipFill>
        <a:blip xmlns:r="http://schemas.openxmlformats.org/officeDocument/2006/relationships" r:embed="rId3"/>
        <a:stretch>
          <a:fillRect/>
        </a:stretch>
      </xdr:blipFill>
      <xdr:spPr>
        <a:xfrm>
          <a:off x="10885714" y="489857"/>
          <a:ext cx="9881561" cy="1566384"/>
        </a:xfrm>
        <a:prstGeom prst="rect">
          <a:avLst/>
        </a:prstGeom>
      </xdr:spPr>
    </xdr:pic>
    <xdr:clientData/>
  </xdr:twoCellAnchor>
  <xdr:twoCellAnchor editAs="oneCell">
    <xdr:from>
      <xdr:col>16</xdr:col>
      <xdr:colOff>0</xdr:colOff>
      <xdr:row>7</xdr:row>
      <xdr:rowOff>242859</xdr:rowOff>
    </xdr:from>
    <xdr:to>
      <xdr:col>30</xdr:col>
      <xdr:colOff>356561</xdr:colOff>
      <xdr:row>14</xdr:row>
      <xdr:rowOff>99612</xdr:rowOff>
    </xdr:to>
    <xdr:pic>
      <xdr:nvPicPr>
        <xdr:cNvPr id="20" name="Picture 19">
          <a:extLst>
            <a:ext uri="{FF2B5EF4-FFF2-40B4-BE49-F238E27FC236}">
              <a16:creationId xmlns:a16="http://schemas.microsoft.com/office/drawing/2014/main" id="{EB7995D5-7164-E84D-36DD-02B0F654F1A4}"/>
            </a:ext>
          </a:extLst>
        </xdr:cNvPr>
        <xdr:cNvPicPr>
          <a:picLocks noChangeAspect="1"/>
        </xdr:cNvPicPr>
      </xdr:nvPicPr>
      <xdr:blipFill>
        <a:blip xmlns:r="http://schemas.openxmlformats.org/officeDocument/2006/relationships" r:embed="rId4"/>
        <a:stretch>
          <a:fillRect/>
        </a:stretch>
      </xdr:blipFill>
      <xdr:spPr>
        <a:xfrm>
          <a:off x="10885714" y="1957359"/>
          <a:ext cx="9881561" cy="1571254"/>
        </a:xfrm>
        <a:prstGeom prst="rect">
          <a:avLst/>
        </a:prstGeom>
      </xdr:spPr>
    </xdr:pic>
    <xdr:clientData/>
  </xdr:twoCellAnchor>
  <xdr:twoCellAnchor editAs="oneCell">
    <xdr:from>
      <xdr:col>16</xdr:col>
      <xdr:colOff>0</xdr:colOff>
      <xdr:row>13</xdr:row>
      <xdr:rowOff>242859</xdr:rowOff>
    </xdr:from>
    <xdr:to>
      <xdr:col>30</xdr:col>
      <xdr:colOff>356561</xdr:colOff>
      <xdr:row>20</xdr:row>
      <xdr:rowOff>96812</xdr:rowOff>
    </xdr:to>
    <xdr:pic>
      <xdr:nvPicPr>
        <xdr:cNvPr id="21" name="Picture 20">
          <a:extLst>
            <a:ext uri="{FF2B5EF4-FFF2-40B4-BE49-F238E27FC236}">
              <a16:creationId xmlns:a16="http://schemas.microsoft.com/office/drawing/2014/main" id="{5A1F7463-01A3-79EF-8024-B5175D8919B5}"/>
            </a:ext>
          </a:extLst>
        </xdr:cNvPr>
        <xdr:cNvPicPr>
          <a:picLocks noChangeAspect="1"/>
        </xdr:cNvPicPr>
      </xdr:nvPicPr>
      <xdr:blipFill>
        <a:blip xmlns:r="http://schemas.openxmlformats.org/officeDocument/2006/relationships" r:embed="rId5"/>
        <a:stretch>
          <a:fillRect/>
        </a:stretch>
      </xdr:blipFill>
      <xdr:spPr>
        <a:xfrm>
          <a:off x="10885714" y="3426930"/>
          <a:ext cx="9881561" cy="1568453"/>
        </a:xfrm>
        <a:prstGeom prst="rect">
          <a:avLst/>
        </a:prstGeom>
      </xdr:spPr>
    </xdr:pic>
    <xdr:clientData/>
  </xdr:twoCellAnchor>
  <xdr:twoCellAnchor editAs="oneCell">
    <xdr:from>
      <xdr:col>16</xdr:col>
      <xdr:colOff>0</xdr:colOff>
      <xdr:row>19</xdr:row>
      <xdr:rowOff>242858</xdr:rowOff>
    </xdr:from>
    <xdr:to>
      <xdr:col>30</xdr:col>
      <xdr:colOff>356561</xdr:colOff>
      <xdr:row>26</xdr:row>
      <xdr:rowOff>96813</xdr:rowOff>
    </xdr:to>
    <xdr:pic>
      <xdr:nvPicPr>
        <xdr:cNvPr id="22" name="Picture 21">
          <a:extLst>
            <a:ext uri="{FF2B5EF4-FFF2-40B4-BE49-F238E27FC236}">
              <a16:creationId xmlns:a16="http://schemas.microsoft.com/office/drawing/2014/main" id="{A6287F61-84DA-7004-6376-3CAD1EC779D1}"/>
            </a:ext>
          </a:extLst>
        </xdr:cNvPr>
        <xdr:cNvPicPr>
          <a:picLocks noChangeAspect="1"/>
        </xdr:cNvPicPr>
      </xdr:nvPicPr>
      <xdr:blipFill>
        <a:blip xmlns:r="http://schemas.openxmlformats.org/officeDocument/2006/relationships" r:embed="rId6"/>
        <a:stretch>
          <a:fillRect/>
        </a:stretch>
      </xdr:blipFill>
      <xdr:spPr>
        <a:xfrm>
          <a:off x="10885714" y="4896501"/>
          <a:ext cx="9881561" cy="1568454"/>
        </a:xfrm>
        <a:prstGeom prst="rect">
          <a:avLst/>
        </a:prstGeom>
      </xdr:spPr>
    </xdr:pic>
    <xdr:clientData/>
  </xdr:twoCellAnchor>
  <xdr:twoCellAnchor editAs="oneCell">
    <xdr:from>
      <xdr:col>16</xdr:col>
      <xdr:colOff>0</xdr:colOff>
      <xdr:row>25</xdr:row>
      <xdr:rowOff>242858</xdr:rowOff>
    </xdr:from>
    <xdr:to>
      <xdr:col>30</xdr:col>
      <xdr:colOff>356561</xdr:colOff>
      <xdr:row>32</xdr:row>
      <xdr:rowOff>96813</xdr:rowOff>
    </xdr:to>
    <xdr:pic>
      <xdr:nvPicPr>
        <xdr:cNvPr id="23" name="Picture 22">
          <a:extLst>
            <a:ext uri="{FF2B5EF4-FFF2-40B4-BE49-F238E27FC236}">
              <a16:creationId xmlns:a16="http://schemas.microsoft.com/office/drawing/2014/main" id="{9DDEF053-1306-7EC1-D4D1-E1BFE285D031}"/>
            </a:ext>
          </a:extLst>
        </xdr:cNvPr>
        <xdr:cNvPicPr>
          <a:picLocks noChangeAspect="1"/>
        </xdr:cNvPicPr>
      </xdr:nvPicPr>
      <xdr:blipFill>
        <a:blip xmlns:r="http://schemas.openxmlformats.org/officeDocument/2006/relationships" r:embed="rId7"/>
        <a:stretch>
          <a:fillRect/>
        </a:stretch>
      </xdr:blipFill>
      <xdr:spPr>
        <a:xfrm>
          <a:off x="10885714" y="6366072"/>
          <a:ext cx="9881561" cy="1568454"/>
        </a:xfrm>
        <a:prstGeom prst="rect">
          <a:avLst/>
        </a:prstGeom>
      </xdr:spPr>
    </xdr:pic>
    <xdr:clientData/>
  </xdr:twoCellAnchor>
  <xdr:twoCellAnchor editAs="oneCell">
    <xdr:from>
      <xdr:col>16</xdr:col>
      <xdr:colOff>0</xdr:colOff>
      <xdr:row>31</xdr:row>
      <xdr:rowOff>242858</xdr:rowOff>
    </xdr:from>
    <xdr:to>
      <xdr:col>30</xdr:col>
      <xdr:colOff>356561</xdr:colOff>
      <xdr:row>38</xdr:row>
      <xdr:rowOff>99613</xdr:rowOff>
    </xdr:to>
    <xdr:pic>
      <xdr:nvPicPr>
        <xdr:cNvPr id="24" name="Picture 23">
          <a:extLst>
            <a:ext uri="{FF2B5EF4-FFF2-40B4-BE49-F238E27FC236}">
              <a16:creationId xmlns:a16="http://schemas.microsoft.com/office/drawing/2014/main" id="{2CBF18AA-ADAC-20D4-D2EC-D07BCC11B989}"/>
            </a:ext>
          </a:extLst>
        </xdr:cNvPr>
        <xdr:cNvPicPr>
          <a:picLocks noChangeAspect="1"/>
        </xdr:cNvPicPr>
      </xdr:nvPicPr>
      <xdr:blipFill>
        <a:blip xmlns:r="http://schemas.openxmlformats.org/officeDocument/2006/relationships" r:embed="rId8"/>
        <a:stretch>
          <a:fillRect/>
        </a:stretch>
      </xdr:blipFill>
      <xdr:spPr>
        <a:xfrm>
          <a:off x="10885714" y="7835644"/>
          <a:ext cx="9881561" cy="1571255"/>
        </a:xfrm>
        <a:prstGeom prst="rect">
          <a:avLst/>
        </a:prstGeom>
      </xdr:spPr>
    </xdr:pic>
    <xdr:clientData/>
  </xdr:twoCellAnchor>
  <xdr:twoCellAnchor editAs="oneCell">
    <xdr:from>
      <xdr:col>16</xdr:col>
      <xdr:colOff>0</xdr:colOff>
      <xdr:row>38</xdr:row>
      <xdr:rowOff>99613</xdr:rowOff>
    </xdr:from>
    <xdr:to>
      <xdr:col>30</xdr:col>
      <xdr:colOff>356561</xdr:colOff>
      <xdr:row>44</xdr:row>
      <xdr:rowOff>208100</xdr:rowOff>
    </xdr:to>
    <xdr:pic>
      <xdr:nvPicPr>
        <xdr:cNvPr id="25" name="Picture 24">
          <a:extLst>
            <a:ext uri="{FF2B5EF4-FFF2-40B4-BE49-F238E27FC236}">
              <a16:creationId xmlns:a16="http://schemas.microsoft.com/office/drawing/2014/main" id="{C70E0371-A668-F4EB-7BDF-CBCC3F0E6BA1}"/>
            </a:ext>
          </a:extLst>
        </xdr:cNvPr>
        <xdr:cNvPicPr>
          <a:picLocks noChangeAspect="1"/>
        </xdr:cNvPicPr>
      </xdr:nvPicPr>
      <xdr:blipFill>
        <a:blip xmlns:r="http://schemas.openxmlformats.org/officeDocument/2006/relationships" r:embed="rId9"/>
        <a:stretch>
          <a:fillRect/>
        </a:stretch>
      </xdr:blipFill>
      <xdr:spPr>
        <a:xfrm>
          <a:off x="10885714" y="9406899"/>
          <a:ext cx="9881561" cy="1578058"/>
        </a:xfrm>
        <a:prstGeom prst="rect">
          <a:avLst/>
        </a:prstGeom>
      </xdr:spPr>
    </xdr:pic>
    <xdr:clientData/>
  </xdr:twoCellAnchor>
  <xdr:twoCellAnchor editAs="oneCell">
    <xdr:from>
      <xdr:col>0</xdr:col>
      <xdr:colOff>0</xdr:colOff>
      <xdr:row>74</xdr:row>
      <xdr:rowOff>195674</xdr:rowOff>
    </xdr:from>
    <xdr:to>
      <xdr:col>14</xdr:col>
      <xdr:colOff>356561</xdr:colOff>
      <xdr:row>81</xdr:row>
      <xdr:rowOff>49628</xdr:rowOff>
    </xdr:to>
    <xdr:pic>
      <xdr:nvPicPr>
        <xdr:cNvPr id="26" name="Picture 25">
          <a:extLst>
            <a:ext uri="{FF2B5EF4-FFF2-40B4-BE49-F238E27FC236}">
              <a16:creationId xmlns:a16="http://schemas.microsoft.com/office/drawing/2014/main" id="{5D31079A-D81C-54D8-930E-788802D4A131}"/>
            </a:ext>
          </a:extLst>
        </xdr:cNvPr>
        <xdr:cNvPicPr>
          <a:picLocks noChangeAspect="1"/>
        </xdr:cNvPicPr>
      </xdr:nvPicPr>
      <xdr:blipFill>
        <a:blip xmlns:r="http://schemas.openxmlformats.org/officeDocument/2006/relationships" r:embed="rId10"/>
        <a:stretch>
          <a:fillRect/>
        </a:stretch>
      </xdr:blipFill>
      <xdr:spPr>
        <a:xfrm>
          <a:off x="0" y="18320388"/>
          <a:ext cx="9881561" cy="1568453"/>
        </a:xfrm>
        <a:prstGeom prst="rect">
          <a:avLst/>
        </a:prstGeom>
      </xdr:spPr>
    </xdr:pic>
    <xdr:clientData/>
  </xdr:twoCellAnchor>
  <xdr:twoCellAnchor editAs="oneCell">
    <xdr:from>
      <xdr:col>1</xdr:col>
      <xdr:colOff>0</xdr:colOff>
      <xdr:row>38</xdr:row>
      <xdr:rowOff>62075</xdr:rowOff>
    </xdr:from>
    <xdr:to>
      <xdr:col>15</xdr:col>
      <xdr:colOff>356561</xdr:colOff>
      <xdr:row>44</xdr:row>
      <xdr:rowOff>168088</xdr:rowOff>
    </xdr:to>
    <xdr:pic>
      <xdr:nvPicPr>
        <xdr:cNvPr id="28" name="Picture 27">
          <a:extLst>
            <a:ext uri="{FF2B5EF4-FFF2-40B4-BE49-F238E27FC236}">
              <a16:creationId xmlns:a16="http://schemas.microsoft.com/office/drawing/2014/main" id="{EB617C00-9252-6C51-AAA8-CCCAFAB252BD}"/>
            </a:ext>
          </a:extLst>
        </xdr:cNvPr>
        <xdr:cNvPicPr>
          <a:picLocks noChangeAspect="1"/>
        </xdr:cNvPicPr>
      </xdr:nvPicPr>
      <xdr:blipFill>
        <a:blip xmlns:r="http://schemas.openxmlformats.org/officeDocument/2006/relationships" r:embed="rId10"/>
        <a:stretch>
          <a:fillRect/>
        </a:stretch>
      </xdr:blipFill>
      <xdr:spPr>
        <a:xfrm>
          <a:off x="683559" y="9049193"/>
          <a:ext cx="9926384" cy="1517954"/>
        </a:xfrm>
        <a:prstGeom prst="rect">
          <a:avLst/>
        </a:prstGeom>
      </xdr:spPr>
    </xdr:pic>
    <xdr:clientData/>
  </xdr:twoCellAnchor>
  <xdr:twoCellAnchor editAs="oneCell">
    <xdr:from>
      <xdr:col>1</xdr:col>
      <xdr:colOff>0</xdr:colOff>
      <xdr:row>32</xdr:row>
      <xdr:rowOff>62076</xdr:rowOff>
    </xdr:from>
    <xdr:to>
      <xdr:col>15</xdr:col>
      <xdr:colOff>356561</xdr:colOff>
      <xdr:row>38</xdr:row>
      <xdr:rowOff>163759</xdr:rowOff>
    </xdr:to>
    <xdr:pic>
      <xdr:nvPicPr>
        <xdr:cNvPr id="30" name="Picture 29">
          <a:extLst>
            <a:ext uri="{FF2B5EF4-FFF2-40B4-BE49-F238E27FC236}">
              <a16:creationId xmlns:a16="http://schemas.microsoft.com/office/drawing/2014/main" id="{CF0F9A33-EFA5-64CB-D22A-E97DFA227DDA}"/>
            </a:ext>
          </a:extLst>
        </xdr:cNvPr>
        <xdr:cNvPicPr>
          <a:picLocks noChangeAspect="1"/>
        </xdr:cNvPicPr>
      </xdr:nvPicPr>
      <xdr:blipFill>
        <a:blip xmlns:r="http://schemas.openxmlformats.org/officeDocument/2006/relationships" r:embed="rId11"/>
        <a:stretch>
          <a:fillRect/>
        </a:stretch>
      </xdr:blipFill>
      <xdr:spPr>
        <a:xfrm>
          <a:off x="683559" y="7637252"/>
          <a:ext cx="9926384" cy="1513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xdr:row>
      <xdr:rowOff>0</xdr:rowOff>
    </xdr:from>
    <xdr:to>
      <xdr:col>264</xdr:col>
      <xdr:colOff>0</xdr:colOff>
      <xdr:row>22</xdr:row>
      <xdr:rowOff>0</xdr:rowOff>
    </xdr:to>
    <xdr:sp macro="" textlink="">
      <xdr:nvSpPr>
        <xdr:cNvPr id="5" name="Rectangle 4">
          <a:extLst>
            <a:ext uri="{FF2B5EF4-FFF2-40B4-BE49-F238E27FC236}">
              <a16:creationId xmlns:a16="http://schemas.microsoft.com/office/drawing/2014/main" id="{D9715AEA-3D13-C9BB-52EA-A5618CF884C3}"/>
            </a:ext>
          </a:extLst>
        </xdr:cNvPr>
        <xdr:cNvSpPr/>
      </xdr:nvSpPr>
      <xdr:spPr>
        <a:xfrm>
          <a:off x="13484679" y="585107"/>
          <a:ext cx="20574000" cy="5143500"/>
        </a:xfrm>
        <a:prstGeom prst="rect">
          <a:avLst/>
        </a:prstGeom>
        <a:noFill/>
        <a:ln w="1143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96</xdr:col>
      <xdr:colOff>0</xdr:colOff>
      <xdr:row>1</xdr:row>
      <xdr:rowOff>59532</xdr:rowOff>
    </xdr:from>
    <xdr:to>
      <xdr:col>96</xdr:col>
      <xdr:colOff>0</xdr:colOff>
      <xdr:row>21</xdr:row>
      <xdr:rowOff>182217</xdr:rowOff>
    </xdr:to>
    <xdr:cxnSp macro="">
      <xdr:nvCxnSpPr>
        <xdr:cNvPr id="3" name="Straight Connector 2">
          <a:extLst>
            <a:ext uri="{FF2B5EF4-FFF2-40B4-BE49-F238E27FC236}">
              <a16:creationId xmlns:a16="http://schemas.microsoft.com/office/drawing/2014/main" id="{BD0450BA-3986-D456-D358-14DBA0CA9A37}"/>
            </a:ext>
          </a:extLst>
        </xdr:cNvPr>
        <xdr:cNvCxnSpPr/>
      </xdr:nvCxnSpPr>
      <xdr:spPr>
        <a:xfrm flipV="1">
          <a:off x="19942969" y="648891"/>
          <a:ext cx="0" cy="4920904"/>
        </a:xfrm>
        <a:prstGeom prst="line">
          <a:avLst/>
        </a:prstGeom>
        <a:ln w="952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179</xdr:col>
      <xdr:colOff>78440</xdr:colOff>
      <xdr:row>1</xdr:row>
      <xdr:rowOff>59532</xdr:rowOff>
    </xdr:from>
    <xdr:to>
      <xdr:col>179</xdr:col>
      <xdr:colOff>78440</xdr:colOff>
      <xdr:row>21</xdr:row>
      <xdr:rowOff>182217</xdr:rowOff>
    </xdr:to>
    <xdr:cxnSp macro="">
      <xdr:nvCxnSpPr>
        <xdr:cNvPr id="15" name="Straight Connector 14">
          <a:extLst>
            <a:ext uri="{FF2B5EF4-FFF2-40B4-BE49-F238E27FC236}">
              <a16:creationId xmlns:a16="http://schemas.microsoft.com/office/drawing/2014/main" id="{532BC82B-9CD8-CBBC-51C6-9FC532006BDA}"/>
            </a:ext>
          </a:extLst>
        </xdr:cNvPr>
        <xdr:cNvCxnSpPr/>
      </xdr:nvCxnSpPr>
      <xdr:spPr>
        <a:xfrm flipV="1">
          <a:off x="26602764" y="653444"/>
          <a:ext cx="0" cy="4862773"/>
        </a:xfrm>
        <a:prstGeom prst="line">
          <a:avLst/>
        </a:prstGeom>
        <a:ln w="952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265780</xdr:colOff>
      <xdr:row>2</xdr:row>
      <xdr:rowOff>218042</xdr:rowOff>
    </xdr:from>
    <xdr:to>
      <xdr:col>11</xdr:col>
      <xdr:colOff>0</xdr:colOff>
      <xdr:row>34</xdr:row>
      <xdr:rowOff>0</xdr:rowOff>
    </xdr:to>
    <xdr:pic>
      <xdr:nvPicPr>
        <xdr:cNvPr id="2" name="Picture 1">
          <a:extLst>
            <a:ext uri="{FF2B5EF4-FFF2-40B4-BE49-F238E27FC236}">
              <a16:creationId xmlns:a16="http://schemas.microsoft.com/office/drawing/2014/main" id="{C6A84CB0-C501-9FEF-A8C7-27A9FE6821EB}"/>
            </a:ext>
          </a:extLst>
        </xdr:cNvPr>
        <xdr:cNvPicPr>
          <a:picLocks noChangeAspect="1"/>
        </xdr:cNvPicPr>
      </xdr:nvPicPr>
      <xdr:blipFill>
        <a:blip xmlns:r="http://schemas.openxmlformats.org/officeDocument/2006/relationships" r:embed="rId1"/>
        <a:stretch>
          <a:fillRect/>
        </a:stretch>
      </xdr:blipFill>
      <xdr:spPr>
        <a:xfrm>
          <a:off x="951580" y="694292"/>
          <a:ext cx="6592220" cy="7401958"/>
        </a:xfrm>
        <a:prstGeom prst="rect">
          <a:avLst/>
        </a:prstGeom>
      </xdr:spPr>
    </xdr:pic>
    <xdr:clientData/>
  </xdr:twoCellAnchor>
  <xdr:twoCellAnchor editAs="oneCell">
    <xdr:from>
      <xdr:col>1</xdr:col>
      <xdr:colOff>265780</xdr:colOff>
      <xdr:row>2</xdr:row>
      <xdr:rowOff>218042</xdr:rowOff>
    </xdr:from>
    <xdr:to>
      <xdr:col>10</xdr:col>
      <xdr:colOff>684056</xdr:colOff>
      <xdr:row>34</xdr:row>
      <xdr:rowOff>1217</xdr:rowOff>
    </xdr:to>
    <xdr:pic>
      <xdr:nvPicPr>
        <xdr:cNvPr id="3" name="Picture 2">
          <a:extLst>
            <a:ext uri="{FF2B5EF4-FFF2-40B4-BE49-F238E27FC236}">
              <a16:creationId xmlns:a16="http://schemas.microsoft.com/office/drawing/2014/main" id="{AD5D1782-4B7D-0205-EA3B-7194575E10F8}"/>
            </a:ext>
          </a:extLst>
        </xdr:cNvPr>
        <xdr:cNvPicPr>
          <a:picLocks noChangeAspect="1"/>
        </xdr:cNvPicPr>
      </xdr:nvPicPr>
      <xdr:blipFill>
        <a:blip xmlns:r="http://schemas.openxmlformats.org/officeDocument/2006/relationships" r:embed="rId2"/>
        <a:stretch>
          <a:fillRect/>
        </a:stretch>
      </xdr:blipFill>
      <xdr:spPr>
        <a:xfrm>
          <a:off x="951580" y="694292"/>
          <a:ext cx="6590476" cy="740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2AB7F2-10BA-4804-9D53-2D0F2EBB00EE}" name="CodeAndScale" displayName="CodeAndScale" ref="A12:AL25" totalsRowShown="0" headerRowDxfId="117" dataDxfId="115" totalsRowDxfId="114" headerRowBorderDxfId="116" headerRowCellStyle="Normal" dataCellStyle="Normal">
  <tableColumns count="38">
    <tableColumn id="16" xr3:uid="{A9CBAE24-5A03-4BDE-99FB-B9944A8F81FC}" name="KeyIn" dataDxfId="113" totalsRowDxfId="112" dataCellStyle="Normal"/>
    <tableColumn id="1" xr3:uid="{2716BD91-6913-4FDE-971F-BEF1207DD161}" name="iChord" dataDxfId="111" totalsRowDxfId="110" dataCellStyle="Normal"/>
    <tableColumn id="17" xr3:uid="{002D0F32-08E3-41CD-9A89-F026B5E6B95E}" name="iChordInC" dataDxfId="109" dataCellStyle="Normal"/>
    <tableColumn id="18" xr3:uid="{4EB2229E-E05A-4C10-B88B-7E0665E7DE75}" name="oChordInC" dataDxfId="108" totalsRowDxfId="107">
      <calculatedColumnFormula array="1">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calculatedColumnFormula>
    </tableColumn>
    <tableColumn id="2" xr3:uid="{6659947B-6E04-4887-A3B2-E8EE494DFCA3}" name="oChord" dataDxfId="106" totalsRowDxfId="105" dataCellStyle="Normal">
      <calculatedColumnFormula array="1">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calculatedColumnFormula>
    </tableColumn>
    <tableColumn id="4" xr3:uid="{27FCB636-AACB-47FD-9B87-A93834ECEE3A}" name="Roman" dataDxfId="104" totalsRowDxfId="103" dataCellStyle="Normal">
      <calculatedColumnFormula array="1">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calculatedColumnFormula>
    </tableColumn>
    <tableColumn id="5" xr3:uid="{850C71E6-1DFE-4F9E-8E1D-99376BE392EC}" name="ScaleName" dataDxfId="102" totalsRowDxfId="101" dataCellStyle="Normal">
      <calculatedColumnFormula array="1">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calculatedColumnFormula>
    </tableColumn>
    <tableColumn id="6" xr3:uid="{681818E4-97C2-4752-A406-DD352C3B5BDE}" name="CT1" dataDxfId="100" totalsRowDxfId="99" dataCellStyle="Normal">
      <calculatedColumnFormula array="1">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7" xr3:uid="{964B76FD-F1BD-48CD-8331-C34FE4533FC6}" name="CT2" dataDxfId="98" totalsRowDxfId="97" dataCellStyle="Normal">
      <calculatedColumnFormula array="1">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8" xr3:uid="{289CA13E-3370-48D8-B163-51CED8226B90}" name="CT3" dataDxfId="96" totalsRowDxfId="95" dataCellStyle="Normal">
      <calculatedColumnFormula array="1">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9" xr3:uid="{178A11AF-1748-4199-A8E1-A449040CDD78}" name="CT4" dataDxfId="94" totalsRowDxfId="93" dataCellStyle="Normal">
      <calculatedColumnFormula array="1">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0" xr3:uid="{252B17D8-9693-4364-B12B-3F70F1470779}" name="CT5" dataDxfId="92" totalsRowDxfId="91" dataCellStyle="Normal">
      <calculatedColumnFormula array="1">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1" xr3:uid="{80C3DB59-C9D6-4A87-B427-3110505F50D5}" name="CT6" dataDxfId="90" totalsRowDxfId="89" dataCellStyle="Normal">
      <calculatedColumnFormula array="1">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2" xr3:uid="{2373E4D5-0677-4C5B-BE1A-13732A5835F2}" name="CT7" dataDxfId="88" totalsRowDxfId="87" dataCellStyle="Normal">
      <calculatedColumnFormula array="1">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3" xr3:uid="{8468F58E-42BF-433E-9C86-8DBFB705D14F}" name="CT8" dataDxfId="86" totalsRowDxfId="85" dataCellStyle="Normal">
      <calculatedColumnFormula array="1">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4" xr3:uid="{BB0FB464-CAF0-400A-A4C3-E6A77BF11AEF}" name="GT3" dataDxfId="84" totalsRowDxfId="83" dataCellStyle="Normal">
      <calculatedColumnFormula array="1">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5" xr3:uid="{B526BEE0-02B5-4502-8E94-46FF646B674F}" name="GT7" dataDxfId="82" totalsRowDxfId="81" dataCellStyle="Normal">
      <calculatedColumnFormula array="1">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calculatedColumnFormula>
    </tableColumn>
    <tableColumn id="19" xr3:uid="{AB7E4EAC-B940-43E1-A741-6006169F4543}" name="AN1" dataDxfId="80" totalsRowDxfId="79" dataCellStyle="Normal">
      <calculatedColumnFormula array="1">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calculatedColumnFormula>
    </tableColumn>
    <tableColumn id="20" xr3:uid="{78EB5F94-3359-43D5-9CA0-0ED4A83DFB5F}" name="AN2" dataDxfId="78" totalsRowDxfId="77" dataCellStyle="Normal">
      <calculatedColumnFormula array="1">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calculatedColumnFormula>
    </tableColumn>
    <tableColumn id="21" xr3:uid="{A2CC183D-67F6-4537-A351-3EFCD2BAF44F}" name="SN1" dataDxfId="76" totalsRowDxfId="75" dataCellStyle="Normal">
      <calculatedColumnFormula array="1">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2" xr3:uid="{7A1ABCB3-E6C2-4A99-9113-591E957EFE85}" name="SN2" dataDxfId="74" totalsRowDxfId="73" dataCellStyle="Normal">
      <calculatedColumnFormula array="1">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3" xr3:uid="{50AF2BE5-7598-4312-9B1B-0CDFEA215FD1}" name="SN3" dataDxfId="72" totalsRowDxfId="71" dataCellStyle="Normal">
      <calculatedColumnFormula array="1">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4" xr3:uid="{1BF6DD53-04A5-4D3F-8527-BF6131B8BAB1}" name="SN4" dataDxfId="70" totalsRowDxfId="69" dataCellStyle="Normal">
      <calculatedColumnFormula array="1">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5" xr3:uid="{19EE17E0-3733-40CE-9810-C6808CA56FA6}" name="SN5" dataDxfId="68" totalsRowDxfId="67" dataCellStyle="Normal">
      <calculatedColumnFormula array="1">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6" xr3:uid="{A86DB98D-D29E-4E5A-93D2-238A8082639C}" name="SN6" dataDxfId="66" totalsRowDxfId="65" dataCellStyle="Normal">
      <calculatedColumnFormula array="1">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7" xr3:uid="{6B3BD40A-CB10-485E-A67F-78D63229E669}" name="SN7" dataDxfId="64" totalsRowDxfId="63" dataCellStyle="Normal">
      <calculatedColumnFormula array="1">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8" xr3:uid="{4A125F30-52F2-401B-8350-D725EA13673C}" name="SN8" dataDxfId="62" totalsRowDxfId="61" dataCellStyle="Normal">
      <calculatedColumnFormula array="1">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29" xr3:uid="{ADB7CDA1-E84B-404E-A860-151473D76940}" name="SN9" dataDxfId="60" totalsRowDxfId="59" dataCellStyle="Normal">
      <calculatedColumnFormula array="1">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calculatedColumnFormula>
    </tableColumn>
    <tableColumn id="30" xr3:uid="{772B521B-5E96-43D6-A82C-DE1A3DF41288}" name="Alt-Scale1" dataDxfId="58" totalsRowDxfId="57" dataCellStyle="Normal">
      <calculatedColumnFormula array="1">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calculatedColumnFormula>
    </tableColumn>
    <tableColumn id="31" xr3:uid="{4164E3FB-8F29-437E-B4F6-B25F08326C7E}" name="Alt-Scale2" dataDxfId="56" totalsRowDxfId="55" dataCellStyle="Normal">
      <calculatedColumnFormula array="1">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calculatedColumnFormula>
    </tableColumn>
    <tableColumn id="32" xr3:uid="{69E0B06F-F025-44B2-9D10-049C5EEBEF18}" name="Alt-Scale3" dataDxfId="54" totalsRowDxfId="53" dataCellStyle="Normal">
      <calculatedColumnFormula array="1">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calculatedColumnFormula>
    </tableColumn>
    <tableColumn id="33" xr3:uid="{FF213D6B-A2DC-4E0B-B8C2-E44EE6B41228}" name="Alt-Scale4" dataDxfId="52" totalsRowDxfId="51" dataCellStyle="Normal">
      <calculatedColumnFormula array="1">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calculatedColumnFormula>
    </tableColumn>
    <tableColumn id="34" xr3:uid="{776CCDFE-C9FB-4EF5-AB43-8ED95BEE6191}" name="Alt-Scale5" dataDxfId="50" totalsRowDxfId="49" dataCellStyle="Normal">
      <calculatedColumnFormula array="1">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calculatedColumnFormula>
    </tableColumn>
    <tableColumn id="35" xr3:uid="{640AECCF-17C4-4F31-8CB8-7D02E10835AE}" name="wRoot" dataDxfId="48" totalsRowDxfId="47" dataCellStyle="Normal">
      <calculatedColumnFormula>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calculatedColumnFormula>
    </tableColumn>
    <tableColumn id="36" xr3:uid="{FC736299-EA11-4FCB-876C-A9D622F3661C}" name="wQuality" dataDxfId="46" totalsRowDxfId="45" dataCellStyle="Normal">
      <calculatedColumnFormula>IF(OR(CodeAndScale[[#This Row],[oChord]]="", CodeAndScale[[#This Row],[oChord]]="Err"), CodeAndScale[[#This Row],[oChord]],
    SUBSTITUTE(CodeAndScale[[#This Row],[oChord]], CodeAndScale[[#This Row],[wRoot]], "", 1)
)</calculatedColumnFormula>
    </tableColumn>
    <tableColumn id="37" xr3:uid="{53ECAC28-0D5D-44A4-B858-902D0F9D3E76}" name="wRootDeg" dataDxfId="44" totalsRowDxfId="43" dataCellStyle="Normal">
      <calculatedColumnFormula>IF(OR(CodeAndScale[[#This Row],[oChord]]="", CodeAndScale[[#This Row],[oChord]]="Err"), 0,
    _xlfn.XLOOKUP(CodeAndScale[[#This Row],[wRoot]], NoteDefinitions[NoteName], NoteDefinitions[BaseDegree], 0)
)</calculatedColumnFormula>
    </tableColumn>
    <tableColumn id="38" xr3:uid="{B9BFD33B-B608-406D-88CC-2AECC9F44449}" name="wRootSemi" dataDxfId="42" totalsRowDxfId="41" dataCellStyle="Normal">
      <calculatedColumnFormula>IF(OR(CodeAndScale[[#This Row],[oChord]]="", CodeAndScale[[#This Row],[oChord]]="Err"), 0,
    _xlfn.XLOOKUP(CodeAndScale[[#This Row],[wRoot]], NoteDefinitions[NoteName], NoteDefinitions[SemitonePosition], 0)
)</calculatedColumnFormula>
    </tableColumn>
    <tableColumn id="39" xr3:uid="{EC392A2E-9B59-40E5-B391-C9FEA5EF07F1}" name="wKeyRelDeg" dataDxfId="40" totalsRowDxfId="39" dataCellStyle="Normal">
      <calculatedColumnFormula array="1">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calculatedColumnFormula>
    </tableColumn>
  </tableColumns>
  <tableStyleInfo name="GoodRelax"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52804-48DB-4022-A0FF-C687128433E6}" name="NoteDefinitions" displayName="NoteDefinitions" ref="B4:E53" totalsRowShown="0" headerRowDxfId="38" dataDxfId="37" headerRowCellStyle="Normal" dataCellStyle="Normal">
  <autoFilter ref="B4:E53" xr:uid="{11052804-48DB-4022-A0FF-C687128433E6}"/>
  <sortState xmlns:xlrd2="http://schemas.microsoft.com/office/spreadsheetml/2017/richdata2" ref="B5:E53">
    <sortCondition ref="E5:E53"/>
    <sortCondition ref="D5:D53"/>
    <sortCondition ref="C5:C53"/>
  </sortState>
  <tableColumns count="4">
    <tableColumn id="1" xr3:uid="{C4CEBF9C-2FC7-4667-9010-79998D865CDB}" name="NoteName" dataDxfId="36" dataCellStyle="Normal"/>
    <tableColumn id="2" xr3:uid="{445F801F-D6D1-4793-905A-99923EB699EC}" name="BaseDegree" dataDxfId="35" dataCellStyle="Normal"/>
    <tableColumn id="3" xr3:uid="{5A93F624-9F2A-4508-A462-3C490FA7C002}" name="SemitonePosition" dataDxfId="34" dataCellStyle="Normal"/>
    <tableColumn id="4" xr3:uid="{0150254C-14FE-4958-B8B3-0D176FD06974}" name="AccidentalValue" dataDxfId="33" dataCellStyle="Normal"/>
  </tableColumns>
  <tableStyleInfo name="GoodRelax"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31CD7E-AE8D-44E4-958B-966CD9118828}" name="IntervalDefinitions" displayName="IntervalDefinitions" ref="G4:K31" totalsRowShown="0" headerRowDxfId="32" dataDxfId="31" headerRowCellStyle="Normal" dataCellStyle="Normal">
  <autoFilter ref="G4:K31" xr:uid="{9B31CD7E-AE8D-44E4-958B-966CD9118828}"/>
  <tableColumns count="5">
    <tableColumn id="1" xr3:uid="{55E4F21A-E15A-48C5-BCBA-1D0E7E65B82D}" name="IntervalID" dataDxfId="30" dataCellStyle="Normal"/>
    <tableColumn id="2" xr3:uid="{6847146C-155E-40CB-963E-C856252A6810}" name="IntervalName" dataDxfId="29" dataCellStyle="Normal"/>
    <tableColumn id="3" xr3:uid="{9F76912B-EDF5-40F1-B5D2-21F71195FBF6}" name="DeltaSemitone" dataDxfId="28" dataCellStyle="Normal"/>
    <tableColumn id="4" xr3:uid="{8E8A5F31-A633-4C0F-80C3-0317F2D41BDC}" name="DeltaDegree" dataDxfId="27" dataCellStyle="Normal"/>
    <tableColumn id="5" xr3:uid="{6C52F0BF-BD6B-449D-AC3C-C3F71784D9C3}" name="RomanNumeralBase" dataDxfId="26" dataCellStyle="Normal"/>
  </tableColumns>
  <tableStyleInfo name="GoodRelax"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176AD5-2714-456B-AF05-CB3AE46371C7}" name="ChordDefinitions" displayName="ChordDefinitions" ref="M4:P31" totalsRowShown="0" headerRowDxfId="25" dataDxfId="24" headerRowCellStyle="Normal" dataCellStyle="Normal">
  <autoFilter ref="M4:P31" xr:uid="{DC176AD5-2714-456B-AF05-CB3AE46371C7}"/>
  <tableColumns count="4">
    <tableColumn id="1" xr3:uid="{1FA3B46A-3492-4333-8E91-8843DE84A80A}" name="ChordSymbol" dataDxfId="23" dataCellStyle="Normal"/>
    <tableColumn id="2" xr3:uid="{1A316569-C8FA-42A0-8AD2-3BC56D1D3390}" name="IntervalsStructure" dataDxfId="22" dataCellStyle="Normal"/>
    <tableColumn id="3" xr3:uid="{4490CA14-A2DF-410E-8BB8-E31434E56501}" name="GuideToneIntervals" dataDxfId="21" dataCellStyle="Normal"/>
    <tableColumn id="4" xr3:uid="{0C8E97C5-836C-4E83-B237-0C6234B3ED63}" name="RomanSuffix" dataDxfId="20" dataCellStyle="Normal"/>
  </tableColumns>
  <tableStyleInfo name="GoodRelax"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051885-B0E5-4980-84DA-8216C20609AA}" name="ScaleDefinitions" displayName="ScaleDefinitions" ref="R4:T27" totalsRowShown="0" headerRowDxfId="19" dataDxfId="18" headerRowCellStyle="Normal" dataCellStyle="Normal">
  <autoFilter ref="R4:T27" xr:uid="{C7051885-B0E5-4980-84DA-8216C20609AA}"/>
  <tableColumns count="3">
    <tableColumn id="1" xr3:uid="{FE959929-F59E-423A-A532-AD1DC642BFD9}" name="ScaleName" dataDxfId="17" dataCellStyle="Normal"/>
    <tableColumn id="2" xr3:uid="{ACF028A2-D8D2-4988-AC62-267B44FFB24A}" name="IntervalsStructure" dataDxfId="16" dataCellStyle="Normal"/>
    <tableColumn id="3" xr3:uid="{26B69C9C-ED2B-467D-828B-0D62C8C884FD}" name="AvoidNoteIntervals" dataDxfId="15" dataCellStyle="Normal"/>
  </tableColumns>
  <tableStyleInfo name="GoodRelax"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36BB44-3E29-45B2-9D00-D19D95E537DF}" name="ScaleAssignmentRules" displayName="ScaleAssignmentRules" ref="V4:AC111" totalsRowShown="0" headerRowDxfId="14" dataDxfId="13" headerRowCellStyle="Normal" dataCellStyle="Normal">
  <autoFilter ref="V4:AC111" xr:uid="{2836BB44-3E29-45B2-9D00-D19D95E537DF}"/>
  <sortState xmlns:xlrd2="http://schemas.microsoft.com/office/spreadsheetml/2017/richdata2" ref="V5:AC111">
    <sortCondition ref="V5:V111"/>
    <sortCondition ref="AB5:AB111"/>
    <sortCondition ref="AA5:AA111"/>
    <sortCondition ref="X5:X111"/>
  </sortState>
  <tableColumns count="8">
    <tableColumn id="1" xr3:uid="{ED9B975F-6403-4BEE-86F8-AF4455E3157D}" name="KeyType" dataDxfId="12" dataCellStyle="Normal"/>
    <tableColumn id="2" xr3:uid="{F64B0407-34E1-42D0-B858-2B47FCCDE0DD}" name="DegreeIntervalID" dataDxfId="11" dataCellStyle="Normal"/>
    <tableColumn id="3" xr3:uid="{3FED58AF-4BB4-4260-83E7-9349176AF33C}" name="ChordSymbol" dataDxfId="10" dataCellStyle="Normal"/>
    <tableColumn id="4" xr3:uid="{5FD72337-28EE-4049-8243-AC471D5D3CE8}" name="ScaleName" dataDxfId="9" dataCellStyle="Normal"/>
    <tableColumn id="5" xr3:uid="{C06028B6-739A-4D80-8867-E20F71367E95}" name="HarmonicFunction" dataDxfId="8" dataCellStyle="Normal"/>
    <tableColumn id="6" xr3:uid="{FDDBA21F-131C-48EA-8D0C-5EE99A20E10E}" name="UsageType" dataDxfId="7" dataCellStyle="Normal"/>
    <tableColumn id="8" xr3:uid="{1C7A0A40-EF7F-4145-926F-005DD2544C04}" name="SortDeg" dataDxfId="6">
      <calculatedColumnFormula>RIGHT(ScaleAssignmentRules[[#This Row],[DegreeIntervalID]],1)</calculatedColumnFormula>
    </tableColumn>
    <tableColumn id="7" xr3:uid="{45658429-CF15-45DA-80AA-393F92180DA8}" name="Remark" dataDxfId="5" dataCellStyle="Normal"/>
  </tableColumns>
  <tableStyleInfo name="GoodRelax" showFirstColumn="0" showLastColumn="0" showRowStripes="1" showColumnStripes="0"/>
</table>
</file>

<file path=xl/theme/theme1.xml><?xml version="1.0" encoding="utf-8"?>
<a:theme xmlns:a="http://schemas.openxmlformats.org/drawingml/2006/main" name="Office Theme">
  <a:themeElements>
    <a:clrScheme name="RefinedDark">
      <a:dk1>
        <a:srgbClr val="F0F0F0"/>
      </a:dk1>
      <a:lt1>
        <a:srgbClr val="181818"/>
      </a:lt1>
      <a:dk2>
        <a:srgbClr val="9DA5B4"/>
      </a:dk2>
      <a:lt2>
        <a:srgbClr val="282C34"/>
      </a:lt2>
      <a:accent1>
        <a:srgbClr val="61AFEF"/>
      </a:accent1>
      <a:accent2>
        <a:srgbClr val="E5C07B"/>
      </a:accent2>
      <a:accent3>
        <a:srgbClr val="E06C75"/>
      </a:accent3>
      <a:accent4>
        <a:srgbClr val="98C379"/>
      </a:accent4>
      <a:accent5>
        <a:srgbClr val="C678DD"/>
      </a:accent5>
      <a:accent6>
        <a:srgbClr val="56B6C2"/>
      </a:accent6>
      <a:hlink>
        <a:srgbClr val="61AFEF"/>
      </a:hlink>
      <a:folHlink>
        <a:srgbClr val="C678D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5.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B8F9-19FD-458C-8892-31CFB82AA7DD}">
  <dimension ref="A1:F88"/>
  <sheetViews>
    <sheetView zoomScale="130" zoomScaleNormal="130" workbookViewId="0">
      <pane ySplit="1" topLeftCell="A2" activePane="bottomLeft" state="frozen"/>
      <selection pane="bottomLeft" activeCell="A2" sqref="A2"/>
    </sheetView>
  </sheetViews>
  <sheetFormatPr defaultRowHeight="18.75" x14ac:dyDescent="0.4"/>
  <cols>
    <col min="1" max="16384" width="9" style="43"/>
  </cols>
  <sheetData>
    <row r="1" spans="1:6" x14ac:dyDescent="0.4">
      <c r="A1" s="44" t="s">
        <v>372</v>
      </c>
    </row>
    <row r="3" spans="1:6" x14ac:dyDescent="0.4">
      <c r="A3" s="44" t="s">
        <v>373</v>
      </c>
    </row>
    <row r="5" spans="1:6" x14ac:dyDescent="0.4">
      <c r="A5" s="46" t="s">
        <v>486</v>
      </c>
    </row>
    <row r="6" spans="1:6" x14ac:dyDescent="0.4">
      <c r="A6" s="46" t="s">
        <v>487</v>
      </c>
    </row>
    <row r="7" spans="1:6" x14ac:dyDescent="0.4">
      <c r="A7" s="46" t="s">
        <v>488</v>
      </c>
    </row>
    <row r="9" spans="1:6" x14ac:dyDescent="0.4">
      <c r="A9" s="44" t="s">
        <v>374</v>
      </c>
    </row>
    <row r="11" spans="1:6" x14ac:dyDescent="0.4">
      <c r="A11" s="44" t="s">
        <v>375</v>
      </c>
    </row>
    <row r="13" spans="1:6" x14ac:dyDescent="0.4">
      <c r="A13" s="53" t="s">
        <v>489</v>
      </c>
    </row>
    <row r="14" spans="1:6" x14ac:dyDescent="0.4">
      <c r="A14" s="53"/>
      <c r="F14" s="43" t="s">
        <v>490</v>
      </c>
    </row>
    <row r="15" spans="1:6" x14ac:dyDescent="0.4">
      <c r="A15" s="47"/>
    </row>
    <row r="16" spans="1:6" x14ac:dyDescent="0.4">
      <c r="A16" s="47" t="s">
        <v>376</v>
      </c>
    </row>
    <row r="17" spans="1:1" x14ac:dyDescent="0.4">
      <c r="A17" s="46" t="s">
        <v>377</v>
      </c>
    </row>
    <row r="18" spans="1:1" x14ac:dyDescent="0.4">
      <c r="A18" s="46" t="s">
        <v>378</v>
      </c>
    </row>
    <row r="20" spans="1:1" x14ac:dyDescent="0.4">
      <c r="A20" s="44" t="s">
        <v>379</v>
      </c>
    </row>
    <row r="22" spans="1:1" x14ac:dyDescent="0.4">
      <c r="A22" s="47" t="s">
        <v>380</v>
      </c>
    </row>
    <row r="23" spans="1:1" x14ac:dyDescent="0.4">
      <c r="A23" s="47" t="s">
        <v>381</v>
      </c>
    </row>
    <row r="24" spans="1:1" x14ac:dyDescent="0.4">
      <c r="A24" s="47" t="s">
        <v>382</v>
      </c>
    </row>
    <row r="26" spans="1:1" x14ac:dyDescent="0.4">
      <c r="A26" s="44" t="s">
        <v>383</v>
      </c>
    </row>
    <row r="28" spans="1:1" x14ac:dyDescent="0.4">
      <c r="A28" s="47" t="s">
        <v>384</v>
      </c>
    </row>
    <row r="29" spans="1:1" x14ac:dyDescent="0.4">
      <c r="A29" s="47" t="s">
        <v>385</v>
      </c>
    </row>
    <row r="30" spans="1:1" x14ac:dyDescent="0.4">
      <c r="A30" s="47" t="s">
        <v>386</v>
      </c>
    </row>
    <row r="31" spans="1:1" x14ac:dyDescent="0.4">
      <c r="A31" s="47" t="s">
        <v>387</v>
      </c>
    </row>
    <row r="33" spans="1:1" x14ac:dyDescent="0.4">
      <c r="A33" s="44" t="s">
        <v>388</v>
      </c>
    </row>
    <row r="35" spans="1:1" x14ac:dyDescent="0.4">
      <c r="A35" s="47" t="s">
        <v>389</v>
      </c>
    </row>
    <row r="36" spans="1:1" x14ac:dyDescent="0.4">
      <c r="A36" s="47" t="s">
        <v>390</v>
      </c>
    </row>
    <row r="37" spans="1:1" x14ac:dyDescent="0.4">
      <c r="A37" s="46" t="s">
        <v>391</v>
      </c>
    </row>
    <row r="38" spans="1:1" x14ac:dyDescent="0.4">
      <c r="A38" s="46" t="s">
        <v>392</v>
      </c>
    </row>
    <row r="39" spans="1:1" x14ac:dyDescent="0.4">
      <c r="A39" s="46" t="s">
        <v>393</v>
      </c>
    </row>
    <row r="40" spans="1:1" x14ac:dyDescent="0.4">
      <c r="A40" s="46" t="s">
        <v>394</v>
      </c>
    </row>
    <row r="41" spans="1:1" x14ac:dyDescent="0.4">
      <c r="A41" s="46" t="s">
        <v>395</v>
      </c>
    </row>
    <row r="42" spans="1:1" x14ac:dyDescent="0.4">
      <c r="A42" s="47" t="s">
        <v>396</v>
      </c>
    </row>
    <row r="44" spans="1:1" x14ac:dyDescent="0.4">
      <c r="A44" s="44" t="s">
        <v>397</v>
      </c>
    </row>
    <row r="46" spans="1:1" x14ac:dyDescent="0.4">
      <c r="A46" s="47" t="s">
        <v>398</v>
      </c>
    </row>
    <row r="47" spans="1:1" x14ac:dyDescent="0.4">
      <c r="A47" s="46" t="s">
        <v>399</v>
      </c>
    </row>
    <row r="49" spans="1:1" x14ac:dyDescent="0.4">
      <c r="A49" s="44" t="s">
        <v>400</v>
      </c>
    </row>
    <row r="51" spans="1:1" x14ac:dyDescent="0.4">
      <c r="A51" s="47" t="s">
        <v>401</v>
      </c>
    </row>
    <row r="52" spans="1:1" x14ac:dyDescent="0.4">
      <c r="A52" s="47" t="s">
        <v>402</v>
      </c>
    </row>
    <row r="53" spans="1:1" x14ac:dyDescent="0.4">
      <c r="A53" s="47" t="s">
        <v>403</v>
      </c>
    </row>
    <row r="54" spans="1:1" x14ac:dyDescent="0.4">
      <c r="A54" s="45"/>
    </row>
    <row r="55" spans="1:1" x14ac:dyDescent="0.4">
      <c r="A55" s="46" t="s">
        <v>404</v>
      </c>
    </row>
    <row r="56" spans="1:1" x14ac:dyDescent="0.4">
      <c r="A56" s="46" t="s">
        <v>405</v>
      </c>
    </row>
    <row r="57" spans="1:1" x14ac:dyDescent="0.4">
      <c r="A57" s="46" t="s">
        <v>406</v>
      </c>
    </row>
    <row r="58" spans="1:1" x14ac:dyDescent="0.4">
      <c r="A58" s="46" t="s">
        <v>407</v>
      </c>
    </row>
    <row r="59" spans="1:1" x14ac:dyDescent="0.4">
      <c r="A59" s="46" t="s">
        <v>408</v>
      </c>
    </row>
    <row r="61" spans="1:1" x14ac:dyDescent="0.4">
      <c r="A61" s="47" t="s">
        <v>409</v>
      </c>
    </row>
    <row r="63" spans="1:1" x14ac:dyDescent="0.4">
      <c r="A63" s="46" t="s">
        <v>410</v>
      </c>
    </row>
    <row r="64" spans="1:1" x14ac:dyDescent="0.4">
      <c r="A64" s="46" t="s">
        <v>411</v>
      </c>
    </row>
    <row r="65" spans="1:1" x14ac:dyDescent="0.4">
      <c r="A65" s="46" t="s">
        <v>412</v>
      </c>
    </row>
    <row r="66" spans="1:1" x14ac:dyDescent="0.4">
      <c r="A66" s="46" t="s">
        <v>413</v>
      </c>
    </row>
    <row r="68" spans="1:1" x14ac:dyDescent="0.4">
      <c r="A68" s="47" t="s">
        <v>414</v>
      </c>
    </row>
    <row r="69" spans="1:1" x14ac:dyDescent="0.4">
      <c r="A69" s="46" t="s">
        <v>415</v>
      </c>
    </row>
    <row r="70" spans="1:1" x14ac:dyDescent="0.4">
      <c r="A70" s="46" t="s">
        <v>416</v>
      </c>
    </row>
    <row r="71" spans="1:1" x14ac:dyDescent="0.4">
      <c r="A71" s="46" t="s">
        <v>417</v>
      </c>
    </row>
    <row r="72" spans="1:1" x14ac:dyDescent="0.4">
      <c r="A72" s="46" t="s">
        <v>418</v>
      </c>
    </row>
    <row r="74" spans="1:1" x14ac:dyDescent="0.4">
      <c r="A74" s="44" t="s">
        <v>419</v>
      </c>
    </row>
    <row r="76" spans="1:1" x14ac:dyDescent="0.4">
      <c r="A76" s="46" t="s">
        <v>420</v>
      </c>
    </row>
    <row r="78" spans="1:1" x14ac:dyDescent="0.4">
      <c r="A78" s="47" t="s">
        <v>421</v>
      </c>
    </row>
    <row r="79" spans="1:1" x14ac:dyDescent="0.4">
      <c r="A79" s="47" t="s">
        <v>422</v>
      </c>
    </row>
    <row r="80" spans="1:1" x14ac:dyDescent="0.4">
      <c r="A80" s="47" t="s">
        <v>423</v>
      </c>
    </row>
    <row r="81" spans="1:5" x14ac:dyDescent="0.4">
      <c r="A81" s="47" t="s">
        <v>424</v>
      </c>
    </row>
    <row r="82" spans="1:5" x14ac:dyDescent="0.4">
      <c r="A82" s="47" t="s">
        <v>425</v>
      </c>
    </row>
    <row r="84" spans="1:5" x14ac:dyDescent="0.4">
      <c r="A84" s="44" t="s">
        <v>426</v>
      </c>
    </row>
    <row r="86" spans="1:5" x14ac:dyDescent="0.4">
      <c r="A86" s="53" t="s">
        <v>491</v>
      </c>
    </row>
    <row r="87" spans="1:5" x14ac:dyDescent="0.4">
      <c r="E87" s="43" t="s">
        <v>492</v>
      </c>
    </row>
    <row r="88" spans="1:5" x14ac:dyDescent="0.4">
      <c r="A88" s="46" t="s">
        <v>427</v>
      </c>
    </row>
  </sheetData>
  <phoneticPr fontId="1"/>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2EFF-3102-4694-980A-39CB4192A9A3}">
  <dimension ref="A1:AM39"/>
  <sheetViews>
    <sheetView tabSelected="1" zoomScale="145" zoomScaleNormal="145" workbookViewId="0">
      <pane xSplit="7" ySplit="12" topLeftCell="H13" activePane="bottomRight" state="frozen"/>
      <selection pane="topRight" activeCell="H1" sqref="H1"/>
      <selection pane="bottomLeft" activeCell="A4" sqref="A4"/>
      <selection pane="bottomRight" activeCell="E17" sqref="E17"/>
    </sheetView>
  </sheetViews>
  <sheetFormatPr defaultColWidth="9" defaultRowHeight="17.45" customHeight="1" outlineLevelCol="1" x14ac:dyDescent="0.25"/>
  <cols>
    <col min="1" max="1" width="8.125" style="2" customWidth="1"/>
    <col min="2" max="2" width="8.375" style="2" customWidth="1"/>
    <col min="3" max="3" width="10.125" style="2" customWidth="1"/>
    <col min="4" max="4" width="11.125" style="2" customWidth="1"/>
    <col min="5" max="5" width="10.75" style="2" customWidth="1"/>
    <col min="6" max="6" width="10.125" style="2" bestFit="1" customWidth="1"/>
    <col min="7" max="7" width="16.625" style="2" bestFit="1" customWidth="1"/>
    <col min="8" max="13" width="5.875" style="2" customWidth="1"/>
    <col min="14" max="17" width="5.875" style="2" hidden="1" customWidth="1" outlineLevel="1"/>
    <col min="18" max="18" width="5.875" style="2" hidden="1" customWidth="1" outlineLevel="1" collapsed="1"/>
    <col min="19" max="19" width="5.875" style="2" hidden="1" customWidth="1" outlineLevel="1"/>
    <col min="20" max="20" width="5.875" style="2" customWidth="1" collapsed="1"/>
    <col min="21" max="28" width="5.875" style="2" customWidth="1"/>
    <col min="29" max="33" width="20.875" style="2" customWidth="1"/>
    <col min="34" max="34" width="12.75" style="2" hidden="1" customWidth="1" outlineLevel="1"/>
    <col min="35" max="35" width="13.75" style="2" hidden="1" customWidth="1" outlineLevel="1"/>
    <col min="36" max="37" width="15.125" style="2" hidden="1" customWidth="1" outlineLevel="1"/>
    <col min="38" max="38" width="11.375" style="2" hidden="1" customWidth="1" outlineLevel="1"/>
    <col min="39" max="39" width="9" style="2" collapsed="1"/>
    <col min="40" max="16384" width="9" style="2"/>
  </cols>
  <sheetData>
    <row r="1" spans="1:38" ht="17.45" customHeight="1" x14ac:dyDescent="0.3">
      <c r="A1" s="39" t="s">
        <v>315</v>
      </c>
    </row>
    <row r="2" spans="1:38" ht="17.45" customHeight="1" x14ac:dyDescent="0.25">
      <c r="B2" s="15" t="s">
        <v>359</v>
      </c>
      <c r="C2" s="15" t="s">
        <v>360</v>
      </c>
      <c r="D2" s="36"/>
    </row>
    <row r="3" spans="1:38" ht="17.45" customHeight="1" x14ac:dyDescent="0.35">
      <c r="B3" s="15" t="s">
        <v>104</v>
      </c>
      <c r="C3" s="15" t="s">
        <v>104</v>
      </c>
      <c r="D3" s="40" t="str" cm="1">
        <f t="array" aca="1" ref="D3" ca="1">_xlfn.LET(_xlpm.SelectedRow, CELL("row"), IF(_xlpm.SelectedRow &gt;= 13, INDEX(E:E, _xlpm.SelectedRow), ""))</f>
        <v>Abm6</v>
      </c>
    </row>
    <row r="4" spans="1:38" ht="17.45" customHeight="1" x14ac:dyDescent="0.25">
      <c r="B4" s="15" t="s">
        <v>361</v>
      </c>
      <c r="C4" s="15" t="s">
        <v>80</v>
      </c>
    </row>
    <row r="5" spans="1:38" ht="17.45" customHeight="1" x14ac:dyDescent="0.25">
      <c r="B5" s="15" t="s">
        <v>362</v>
      </c>
      <c r="C5" s="15" t="s">
        <v>267</v>
      </c>
    </row>
    <row r="6" spans="1:38" ht="17.45" customHeight="1" x14ac:dyDescent="0.25">
      <c r="B6" s="15" t="s">
        <v>363</v>
      </c>
      <c r="C6" s="15" t="s">
        <v>77</v>
      </c>
    </row>
    <row r="7" spans="1:38" ht="17.45" customHeight="1" x14ac:dyDescent="0.25">
      <c r="B7" s="15" t="s">
        <v>364</v>
      </c>
      <c r="C7" s="15" t="s">
        <v>138</v>
      </c>
    </row>
    <row r="8" spans="1:38" ht="17.45" customHeight="1" x14ac:dyDescent="0.25">
      <c r="B8" s="15" t="s">
        <v>365</v>
      </c>
      <c r="C8" s="15" t="s">
        <v>106</v>
      </c>
      <c r="AA8" s="37"/>
    </row>
    <row r="9" spans="1:38" ht="17.45" customHeight="1" x14ac:dyDescent="0.25">
      <c r="B9" s="15" t="s">
        <v>366</v>
      </c>
      <c r="C9" s="15" t="s">
        <v>140</v>
      </c>
      <c r="E9" s="38" t="s">
        <v>367</v>
      </c>
      <c r="K9" s="38" t="s">
        <v>369</v>
      </c>
    </row>
    <row r="10" spans="1:38" ht="17.45" customHeight="1" x14ac:dyDescent="0.25">
      <c r="E10" s="38" t="s">
        <v>368</v>
      </c>
      <c r="K10" s="38" t="s">
        <v>370</v>
      </c>
    </row>
    <row r="11" spans="1:38" ht="17.45" customHeight="1" x14ac:dyDescent="0.25">
      <c r="A11" s="10" t="s">
        <v>313</v>
      </c>
      <c r="B11" s="10"/>
      <c r="C11" s="10"/>
      <c r="D11" s="2" t="s">
        <v>314</v>
      </c>
      <c r="H11" s="2" t="s">
        <v>316</v>
      </c>
      <c r="P11" s="2" t="s">
        <v>278</v>
      </c>
      <c r="R11" s="2" t="s">
        <v>277</v>
      </c>
      <c r="T11" s="2" t="s">
        <v>320</v>
      </c>
    </row>
    <row r="12" spans="1:38" ht="17.45" customHeight="1" x14ac:dyDescent="0.25">
      <c r="A12" s="11" t="s">
        <v>311</v>
      </c>
      <c r="B12" s="11" t="s">
        <v>317</v>
      </c>
      <c r="C12" s="11" t="s">
        <v>318</v>
      </c>
      <c r="D12" s="6" t="s">
        <v>321</v>
      </c>
      <c r="E12" s="2" t="s">
        <v>319</v>
      </c>
      <c r="F12" s="2" t="s">
        <v>233</v>
      </c>
      <c r="G12" s="2" t="s">
        <v>312</v>
      </c>
      <c r="H12" s="7" t="s">
        <v>234</v>
      </c>
      <c r="I12" s="7" t="s">
        <v>235</v>
      </c>
      <c r="J12" s="7" t="s">
        <v>236</v>
      </c>
      <c r="K12" s="7" t="s">
        <v>237</v>
      </c>
      <c r="L12" s="7" t="s">
        <v>238</v>
      </c>
      <c r="M12" s="7" t="s">
        <v>239</v>
      </c>
      <c r="N12" s="7" t="s">
        <v>240</v>
      </c>
      <c r="O12" s="7" t="s">
        <v>241</v>
      </c>
      <c r="P12" s="7" t="s">
        <v>242</v>
      </c>
      <c r="Q12" s="7" t="s">
        <v>243</v>
      </c>
      <c r="R12" s="7" t="s">
        <v>244</v>
      </c>
      <c r="S12" s="7" t="s">
        <v>245</v>
      </c>
      <c r="T12" s="7" t="s">
        <v>246</v>
      </c>
      <c r="U12" s="7" t="s">
        <v>247</v>
      </c>
      <c r="V12" s="7" t="s">
        <v>248</v>
      </c>
      <c r="W12" s="7" t="s">
        <v>249</v>
      </c>
      <c r="X12" s="7" t="s">
        <v>250</v>
      </c>
      <c r="Y12" s="7" t="s">
        <v>251</v>
      </c>
      <c r="Z12" s="7" t="s">
        <v>252</v>
      </c>
      <c r="AA12" s="7" t="s">
        <v>253</v>
      </c>
      <c r="AB12" s="7" t="s">
        <v>254</v>
      </c>
      <c r="AC12" s="2" t="s">
        <v>255</v>
      </c>
      <c r="AD12" s="2" t="s">
        <v>256</v>
      </c>
      <c r="AE12" s="2" t="s">
        <v>257</v>
      </c>
      <c r="AF12" s="2" t="s">
        <v>258</v>
      </c>
      <c r="AG12" s="2" t="s">
        <v>259</v>
      </c>
      <c r="AH12" s="2" t="s">
        <v>260</v>
      </c>
      <c r="AI12" s="2" t="s">
        <v>261</v>
      </c>
      <c r="AJ12" s="2" t="s">
        <v>262</v>
      </c>
      <c r="AK12" s="2" t="s">
        <v>263</v>
      </c>
      <c r="AL12" s="2" t="s">
        <v>264</v>
      </c>
    </row>
    <row r="13" spans="1:38" ht="17.45" customHeight="1" x14ac:dyDescent="0.25">
      <c r="A13" s="8" t="s">
        <v>344</v>
      </c>
      <c r="B13" s="8" t="s">
        <v>344</v>
      </c>
      <c r="C13" s="9"/>
      <c r="D13" s="6" t="str" cm="1">
        <f t="array" ref="D13">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Am</v>
      </c>
      <c r="E13" s="2" t="str" cm="1">
        <f t="array" ref="E13">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Ebm</v>
      </c>
      <c r="F13" s="2" t="str" cm="1">
        <f t="array" ref="F13">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Im</v>
      </c>
      <c r="G13" s="2" t="str" cm="1">
        <f t="array" ref="G13">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Aeolian</v>
      </c>
      <c r="H13" s="7" t="str" cm="1">
        <f t="array" ref="H13">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I13" s="7" t="str" cm="1">
        <f t="array" ref="I13">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J13" s="7" t="str" cm="1">
        <f t="array" ref="J13">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K13" s="7" t="str" cm="1">
        <f t="array" ref="K13">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L13" s="7" t="str" cm="1">
        <f t="array" ref="L13">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3" s="7" t="str" cm="1">
        <f t="array" ref="M13">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3" s="7" t="str" cm="1">
        <f t="array" ref="N13">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3" s="7" t="str" cm="1">
        <f t="array" ref="O13">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3" s="7" t="str" cm="1">
        <f t="array" ref="P13">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Q13" s="7" t="str" cm="1">
        <f t="array" ref="Q13">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R13" s="7" t="str" cm="1">
        <f t="array" ref="R13">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(Cb)</v>
      </c>
      <c r="S13" s="7" t="str" cm="1">
        <f t="array" ref="S13">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13" s="7" t="str" cm="1">
        <f t="array" ref="T13">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U13" s="7" t="str" cm="1">
        <f t="array" ref="U13">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V13" s="7" t="str" cm="1">
        <f t="array" ref="V13">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W13" s="7" t="str" cm="1">
        <f t="array" ref="W13">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X13" s="7" t="str" cm="1">
        <f t="array" ref="X13">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Y13" s="7" t="str" cm="1">
        <f t="array" ref="Y13">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Z13" s="7" t="str" cm="1">
        <f t="array" ref="Z13">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AA13" s="7" t="str" cm="1">
        <f t="array" ref="AA13">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3" s="7" t="str" cm="1">
        <f t="array" ref="AB13">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3" s="2" t="str" cm="1">
        <f t="array" ref="AC13">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3" s="2" t="str" cm="1">
        <f t="array" ref="AD13">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3" s="2" t="str" cm="1">
        <f t="array" ref="AE13">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3" s="2" t="str" cm="1">
        <f t="array" ref="AF13">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3" s="2" t="str" cm="1">
        <f t="array" ref="AG13">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3"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Eb</v>
      </c>
      <c r="AI13" s="2" t="str">
        <f>IF(OR(CodeAndScale[[#This Row],[oChord]]="", CodeAndScale[[#This Row],[oChord]]="Err"), CodeAndScale[[#This Row],[oChord]],
    SUBSTITUTE(CodeAndScale[[#This Row],[oChord]], CodeAndScale[[#This Row],[wRoot]], "", 1)
)</f>
        <v>m</v>
      </c>
      <c r="AJ13" s="2">
        <f>IF(OR(CodeAndScale[[#This Row],[oChord]]="", CodeAndScale[[#This Row],[oChord]]="Err"), 0,
    _xlfn.XLOOKUP(CodeAndScale[[#This Row],[wRoot]], NoteDefinitions[NoteName], NoteDefinitions[BaseDegree], 0)
)</f>
        <v>2</v>
      </c>
      <c r="AK13" s="2">
        <f>IF(OR(CodeAndScale[[#This Row],[oChord]]="", CodeAndScale[[#This Row],[oChord]]="Err"), 0,
    _xlfn.XLOOKUP(CodeAndScale[[#This Row],[wRoot]], NoteDefinitions[NoteName], NoteDefinitions[SemitonePosition], 0)
)</f>
        <v>3</v>
      </c>
      <c r="AL13" s="2" t="str" cm="1">
        <f t="array" ref="AL13">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P1</v>
      </c>
    </row>
    <row r="14" spans="1:38" ht="17.45" customHeight="1" x14ac:dyDescent="0.25">
      <c r="A14" s="8" t="s">
        <v>343</v>
      </c>
      <c r="B14" s="8" t="s">
        <v>345</v>
      </c>
      <c r="C14" s="9"/>
      <c r="D14" s="6" t="str" cm="1">
        <f t="array" ref="D14">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Em7</v>
      </c>
      <c r="E14" s="2" t="str" cm="1">
        <f t="array" ref="E14">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Bbm7</v>
      </c>
      <c r="F14" s="2" t="str" cm="1">
        <f t="array" ref="F14">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Vm7</v>
      </c>
      <c r="G14" s="2" t="str" cm="1">
        <f t="array" ref="G14">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Phrygian</v>
      </c>
      <c r="H14" s="7" t="str" cm="1">
        <f t="array" ref="H14">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I14" s="7" t="str" cm="1">
        <f t="array" ref="I14">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J14" s="7" t="str" cm="1">
        <f t="array" ref="J14">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K14" s="7" t="str" cm="1">
        <f t="array" ref="K14">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L14" s="7" t="str" cm="1">
        <f t="array" ref="L14">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4" s="7" t="str" cm="1">
        <f t="array" ref="M14">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4" s="7" t="str" cm="1">
        <f t="array" ref="N14">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4" s="7" t="str" cm="1">
        <f t="array" ref="O14">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4" s="7" t="str" cm="1">
        <f t="array" ref="P14">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Q14" s="7" t="str" cm="1">
        <f t="array" ref="Q14">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R14" s="7" t="str" cm="1">
        <f t="array" ref="R14">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(Cb)</v>
      </c>
      <c r="S14" s="7" t="str" cm="1">
        <f t="array" ref="S14">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(Gb)</v>
      </c>
      <c r="T14" s="7" t="str" cm="1">
        <f t="array" ref="T14">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U14" s="7" t="str" cm="1">
        <f t="array" ref="U14">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V14" s="7" t="str" cm="1">
        <f t="array" ref="V14">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W14" s="7" t="str" cm="1">
        <f t="array" ref="W14">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X14" s="7" t="str" cm="1">
        <f t="array" ref="X14">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Y14" s="7" t="str" cm="1">
        <f t="array" ref="Y14">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Z14" s="7" t="str" cm="1">
        <f t="array" ref="Z14">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AA14" s="7" t="str" cm="1">
        <f t="array" ref="AA14">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4" s="7" t="str" cm="1">
        <f t="array" ref="AB14">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4" s="2" t="str" cm="1">
        <f t="array" ref="AC14">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4" s="2" t="str" cm="1">
        <f t="array" ref="AD14">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4" s="2" t="str" cm="1">
        <f t="array" ref="AE14">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4" s="2" t="str" cm="1">
        <f t="array" ref="AF14">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4" s="2" t="str" cm="1">
        <f t="array" ref="AG14">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4"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Bb</v>
      </c>
      <c r="AI14" s="2" t="str">
        <f>IF(OR(CodeAndScale[[#This Row],[oChord]]="", CodeAndScale[[#This Row],[oChord]]="Err"), CodeAndScale[[#This Row],[oChord]],
    SUBSTITUTE(CodeAndScale[[#This Row],[oChord]], CodeAndScale[[#This Row],[wRoot]], "", 1)
)</f>
        <v>m7</v>
      </c>
      <c r="AJ14" s="2">
        <f>IF(OR(CodeAndScale[[#This Row],[oChord]]="", CodeAndScale[[#This Row],[oChord]]="Err"), 0,
    _xlfn.XLOOKUP(CodeAndScale[[#This Row],[wRoot]], NoteDefinitions[NoteName], NoteDefinitions[BaseDegree], 0)
)</f>
        <v>6</v>
      </c>
      <c r="AK14" s="2">
        <f>IF(OR(CodeAndScale[[#This Row],[oChord]]="", CodeAndScale[[#This Row],[oChord]]="Err"), 0,
    _xlfn.XLOOKUP(CodeAndScale[[#This Row],[wRoot]], NoteDefinitions[NoteName], NoteDefinitions[SemitonePosition], 0)
)</f>
        <v>10</v>
      </c>
      <c r="AL14" s="2" t="str" cm="1">
        <f t="array" ref="AL14">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P5</v>
      </c>
    </row>
    <row r="15" spans="1:38" ht="17.45" customHeight="1" x14ac:dyDescent="0.25">
      <c r="A15" s="8" t="s">
        <v>310</v>
      </c>
      <c r="B15" s="8"/>
      <c r="C15" s="9"/>
      <c r="D15" s="6" t="str" cm="1">
        <f t="array" ref="D15">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
      </c>
      <c r="E15" s="2" t="str" cm="1">
        <f t="array" ref="E15">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
      </c>
      <c r="F15" s="2" t="str" cm="1">
        <f t="array" ref="F15">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
      </c>
      <c r="G15" s="2" t="str" cm="1">
        <f t="array" ref="G15">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
      </c>
      <c r="H15" s="7" t="str" cm="1">
        <f t="array" ref="H15">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I15" s="7" t="str" cm="1">
        <f t="array" ref="I15">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J15" s="7" t="str" cm="1">
        <f t="array" ref="J15">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K15" s="7" t="str" cm="1">
        <f t="array" ref="K15">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L15" s="7" t="str" cm="1">
        <f t="array" ref="L15">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5" s="7" t="str" cm="1">
        <f t="array" ref="M15">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5" s="7" t="str" cm="1">
        <f t="array" ref="N15">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5" s="7" t="str" cm="1">
        <f t="array" ref="O15">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5" s="7" t="str" cm="1">
        <f t="array" ref="P15">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Q15" s="7" t="str" cm="1">
        <f t="array" ref="Q15">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R15" s="7" t="str" cm="1">
        <f t="array" ref="R15">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15" s="7" t="str" cm="1">
        <f t="array" ref="S15">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15" s="7" t="str" cm="1">
        <f t="array" ref="T15">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U15" s="7" t="str" cm="1">
        <f t="array" ref="U15">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V15" s="7" t="str" cm="1">
        <f t="array" ref="V15">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W15" s="7" t="str" cm="1">
        <f t="array" ref="W15">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X15" s="7" t="str" cm="1">
        <f t="array" ref="X15">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Y15" s="7" t="str" cm="1">
        <f t="array" ref="Y15">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Z15" s="7" t="str" cm="1">
        <f t="array" ref="Z15">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A15" s="7" t="str" cm="1">
        <f t="array" ref="AA15">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5" s="7" t="str" cm="1">
        <f t="array" ref="AB15">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5" s="2" t="str" cm="1">
        <f t="array" ref="AC15">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5" s="2" t="str" cm="1">
        <f t="array" ref="AD15">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5" s="2" t="str" cm="1">
        <f t="array" ref="AE15">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5" s="2" t="str" cm="1">
        <f t="array" ref="AF15">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5" s="2" t="str" cm="1">
        <f t="array" ref="AG15">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5"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
      </c>
      <c r="AI15" s="2" t="str">
        <f>IF(OR(CodeAndScale[[#This Row],[oChord]]="", CodeAndScale[[#This Row],[oChord]]="Err"), CodeAndScale[[#This Row],[oChord]],
    SUBSTITUTE(CodeAndScale[[#This Row],[oChord]], CodeAndScale[[#This Row],[wRoot]], "", 1)
)</f>
        <v/>
      </c>
      <c r="AJ15" s="2">
        <f>IF(OR(CodeAndScale[[#This Row],[oChord]]="", CodeAndScale[[#This Row],[oChord]]="Err"), 0,
    _xlfn.XLOOKUP(CodeAndScale[[#This Row],[wRoot]], NoteDefinitions[NoteName], NoteDefinitions[BaseDegree], 0)
)</f>
        <v>0</v>
      </c>
      <c r="AK15" s="2">
        <f>IF(OR(CodeAndScale[[#This Row],[oChord]]="", CodeAndScale[[#This Row],[oChord]]="Err"), 0,
    _xlfn.XLOOKUP(CodeAndScale[[#This Row],[wRoot]], NoteDefinitions[NoteName], NoteDefinitions[SemitonePosition], 0)
)</f>
        <v>0</v>
      </c>
      <c r="AL15" s="2" t="str" cm="1">
        <f t="array" ref="AL15">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
      </c>
    </row>
    <row r="16" spans="1:38" ht="17.45" customHeight="1" x14ac:dyDescent="0.25">
      <c r="A16" s="8" t="s">
        <v>358</v>
      </c>
      <c r="B16" s="8" t="s">
        <v>346</v>
      </c>
      <c r="C16" s="9"/>
      <c r="D16" s="6" t="str" cm="1">
        <f t="array" ref="D16">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FM7</v>
      </c>
      <c r="E16" s="2" t="str" cm="1">
        <f t="array" ref="E16">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BM7</v>
      </c>
      <c r="F16" s="2" t="str" cm="1">
        <f t="array" ref="F16">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IVM7</v>
      </c>
      <c r="G16" s="2" t="str" cm="1">
        <f t="array" ref="G16">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Lydian</v>
      </c>
      <c r="H16" s="7" t="str" cm="1">
        <f t="array" ref="H16">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v>
      </c>
      <c r="I16" s="7" t="str" cm="1">
        <f t="array" ref="I16">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v>
      </c>
      <c r="J16" s="7" t="str" cm="1">
        <f t="array" ref="J16">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K16" s="7" t="str" cm="1">
        <f t="array" ref="K16">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v>
      </c>
      <c r="L16" s="7" t="str" cm="1">
        <f t="array" ref="L16">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6" s="7" t="str" cm="1">
        <f t="array" ref="M16">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6" s="7" t="str" cm="1">
        <f t="array" ref="N16">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6" s="7" t="str" cm="1">
        <f t="array" ref="O16">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6" s="7" t="str" cm="1">
        <f t="array" ref="P16">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v>
      </c>
      <c r="Q16" s="7" t="str" cm="1">
        <f t="array" ref="Q16">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v>
      </c>
      <c r="R16" s="7" t="str" cm="1">
        <f t="array" ref="R16">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16" s="7" t="str" cm="1">
        <f t="array" ref="S16">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16" s="7" t="str" cm="1">
        <f t="array" ref="T16">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v>
      </c>
      <c r="U16" s="7" t="str" cm="1">
        <f t="array" ref="U16">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v>
      </c>
      <c r="V16" s="7" t="str" cm="1">
        <f t="array" ref="V16">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v>
      </c>
      <c r="W16" s="7" t="str" cm="1">
        <f t="array" ref="W16">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v>
      </c>
      <c r="X16" s="7" t="str" cm="1">
        <f t="array" ref="X16">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Y16" s="7" t="str" cm="1">
        <f t="array" ref="Y16">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v>
      </c>
      <c r="Z16" s="7" t="str" cm="1">
        <f t="array" ref="Z16">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v>
      </c>
      <c r="AA16" s="7" t="str" cm="1">
        <f t="array" ref="AA16">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6" s="7" t="str" cm="1">
        <f t="array" ref="AB16">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6" s="2" t="str" cm="1">
        <f t="array" ref="AC16">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6" s="2" t="str" cm="1">
        <f t="array" ref="AD16">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6" s="2" t="str" cm="1">
        <f t="array" ref="AE16">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6" s="2" t="str" cm="1">
        <f t="array" ref="AF16">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6" s="2" t="str" cm="1">
        <f t="array" ref="AG16">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6"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B</v>
      </c>
      <c r="AI16" s="2" t="str">
        <f>IF(OR(CodeAndScale[[#This Row],[oChord]]="", CodeAndScale[[#This Row],[oChord]]="Err"), CodeAndScale[[#This Row],[oChord]],
    SUBSTITUTE(CodeAndScale[[#This Row],[oChord]], CodeAndScale[[#This Row],[wRoot]], "", 1)
)</f>
        <v>M7</v>
      </c>
      <c r="AJ16" s="2">
        <f>IF(OR(CodeAndScale[[#This Row],[oChord]]="", CodeAndScale[[#This Row],[oChord]]="Err"), 0,
    _xlfn.XLOOKUP(CodeAndScale[[#This Row],[wRoot]], NoteDefinitions[NoteName], NoteDefinitions[BaseDegree], 0)
)</f>
        <v>6</v>
      </c>
      <c r="AK16" s="2">
        <f>IF(OR(CodeAndScale[[#This Row],[oChord]]="", CodeAndScale[[#This Row],[oChord]]="Err"), 0,
    _xlfn.XLOOKUP(CodeAndScale[[#This Row],[wRoot]], NoteDefinitions[NoteName], NoteDefinitions[SemitonePosition], 0)
)</f>
        <v>11</v>
      </c>
      <c r="AL16" s="2" t="str" cm="1">
        <f t="array" ref="AL16">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P4</v>
      </c>
    </row>
    <row r="17" spans="1:38" ht="17.45" customHeight="1" x14ac:dyDescent="0.25">
      <c r="A17" s="8" t="s">
        <v>358</v>
      </c>
      <c r="B17" s="8" t="s">
        <v>347</v>
      </c>
      <c r="C17" s="9"/>
      <c r="D17" s="6" t="str" cm="1">
        <f t="array" ref="D17">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Dm6</v>
      </c>
      <c r="E17" s="2" t="str" cm="1">
        <f t="array" ref="E17">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Abm6</v>
      </c>
      <c r="F17" s="2" t="str" cm="1">
        <f t="array" ref="F17">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IIm6</v>
      </c>
      <c r="G17" s="2" t="str" cm="1">
        <f t="array" ref="G17">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Dorian</v>
      </c>
      <c r="H17" s="7" t="str" cm="1">
        <f t="array" ref="H17">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I17" s="7" t="str" cm="1">
        <f t="array" ref="I17">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J17" s="7" t="str" cm="1">
        <f t="array" ref="J17">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K17" s="7" t="str" cm="1">
        <f t="array" ref="K17">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L17" s="7" t="str" cm="1">
        <f t="array" ref="L17">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7" s="7" t="str" cm="1">
        <f t="array" ref="M17">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7" s="7" t="str" cm="1">
        <f t="array" ref="N17">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7" s="7" t="str" cm="1">
        <f t="array" ref="O17">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7" s="7" t="str" cm="1">
        <f t="array" ref="P17">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Q17" s="7" t="str" cm="1">
        <f t="array" ref="Q17">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R17" s="7" t="str" cm="1">
        <f t="array" ref="R17">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17" s="7" t="str" cm="1">
        <f t="array" ref="S17">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17" s="7" t="str" cm="1">
        <f t="array" ref="T17">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U17" s="7" t="str" cm="1">
        <f t="array" ref="U17">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V17" s="7" t="str" cm="1">
        <f t="array" ref="V17">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W17" s="7" t="str" cm="1">
        <f t="array" ref="W17">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X17" s="7" t="str" cm="1">
        <f t="array" ref="X17">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Y17" s="7" t="str" cm="1">
        <f t="array" ref="Y17">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Z17" s="7" t="str" cm="1">
        <f t="array" ref="Z17">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AA17" s="7" t="str" cm="1">
        <f t="array" ref="AA17">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7" s="7" t="str" cm="1">
        <f t="array" ref="AB17">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7" s="2" t="str" cm="1">
        <f t="array" ref="AC17">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7" s="2" t="str" cm="1">
        <f t="array" ref="AD17">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7" s="2" t="str" cm="1">
        <f t="array" ref="AE17">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7" s="2" t="str" cm="1">
        <f t="array" ref="AF17">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7" s="2" t="str" cm="1">
        <f t="array" ref="AG17">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7"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Ab</v>
      </c>
      <c r="AI17" s="2" t="str">
        <f>IF(OR(CodeAndScale[[#This Row],[oChord]]="", CodeAndScale[[#This Row],[oChord]]="Err"), CodeAndScale[[#This Row],[oChord]],
    SUBSTITUTE(CodeAndScale[[#This Row],[oChord]], CodeAndScale[[#This Row],[wRoot]], "", 1)
)</f>
        <v>m6</v>
      </c>
      <c r="AJ17" s="2">
        <f>IF(OR(CodeAndScale[[#This Row],[oChord]]="", CodeAndScale[[#This Row],[oChord]]="Err"), 0,
    _xlfn.XLOOKUP(CodeAndScale[[#This Row],[wRoot]], NoteDefinitions[NoteName], NoteDefinitions[BaseDegree], 0)
)</f>
        <v>5</v>
      </c>
      <c r="AK17" s="2">
        <f>IF(OR(CodeAndScale[[#This Row],[oChord]]="", CodeAndScale[[#This Row],[oChord]]="Err"), 0,
    _xlfn.XLOOKUP(CodeAndScale[[#This Row],[wRoot]], NoteDefinitions[NoteName], NoteDefinitions[SemitonePosition], 0)
)</f>
        <v>8</v>
      </c>
      <c r="AL17" s="2" t="str" cm="1">
        <f t="array" ref="AL17">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M2</v>
      </c>
    </row>
    <row r="18" spans="1:38" ht="17.45" customHeight="1" x14ac:dyDescent="0.25">
      <c r="A18" s="8" t="s">
        <v>358</v>
      </c>
      <c r="B18" s="8" t="s">
        <v>345</v>
      </c>
      <c r="C18" s="9"/>
      <c r="D18" s="6" t="str" cm="1">
        <f t="array" ref="D18">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Em7</v>
      </c>
      <c r="E18" s="2" t="str" cm="1">
        <f t="array" ref="E18">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Bbm7</v>
      </c>
      <c r="F18" s="2" t="str" cm="1">
        <f t="array" ref="F18">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IIIm7</v>
      </c>
      <c r="G18" s="2" t="str" cm="1">
        <f t="array" ref="G18">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Phrygian</v>
      </c>
      <c r="H18" s="7" t="str" cm="1">
        <f t="array" ref="H18">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I18" s="7" t="str" cm="1">
        <f t="array" ref="I18">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J18" s="7" t="str" cm="1">
        <f t="array" ref="J18">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K18" s="7" t="str" cm="1">
        <f t="array" ref="K18">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L18" s="7" t="str" cm="1">
        <f t="array" ref="L18">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8" s="7" t="str" cm="1">
        <f t="array" ref="M18">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8" s="7" t="str" cm="1">
        <f t="array" ref="N18">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8" s="7" t="str" cm="1">
        <f t="array" ref="O18">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8" s="7" t="str" cm="1">
        <f t="array" ref="P18">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Q18" s="7" t="str" cm="1">
        <f t="array" ref="Q18">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R18" s="7" t="str" cm="1">
        <f t="array" ref="R18">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(Cb)</v>
      </c>
      <c r="S18" s="7" t="str" cm="1">
        <f t="array" ref="S18">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(Gb)</v>
      </c>
      <c r="T18" s="7" t="str" cm="1">
        <f t="array" ref="T18">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U18" s="7" t="str" cm="1">
        <f t="array" ref="U18">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V18" s="7" t="str" cm="1">
        <f t="array" ref="V18">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W18" s="7" t="str" cm="1">
        <f t="array" ref="W18">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X18" s="7" t="str" cm="1">
        <f t="array" ref="X18">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Y18" s="7" t="str" cm="1">
        <f t="array" ref="Y18">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Z18" s="7" t="str" cm="1">
        <f t="array" ref="Z18">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AA18" s="7" t="str" cm="1">
        <f t="array" ref="AA18">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8" s="7" t="str" cm="1">
        <f t="array" ref="AB18">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8" s="2" t="str" cm="1">
        <f t="array" ref="AC18">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8" s="2" t="str" cm="1">
        <f t="array" ref="AD18">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8" s="2" t="str" cm="1">
        <f t="array" ref="AE18">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8" s="2" t="str" cm="1">
        <f t="array" ref="AF18">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8" s="2" t="str" cm="1">
        <f t="array" ref="AG18">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8"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Bb</v>
      </c>
      <c r="AI18" s="2" t="str">
        <f>IF(OR(CodeAndScale[[#This Row],[oChord]]="", CodeAndScale[[#This Row],[oChord]]="Err"), CodeAndScale[[#This Row],[oChord]],
    SUBSTITUTE(CodeAndScale[[#This Row],[oChord]], CodeAndScale[[#This Row],[wRoot]], "", 1)
)</f>
        <v>m7</v>
      </c>
      <c r="AJ18" s="2">
        <f>IF(OR(CodeAndScale[[#This Row],[oChord]]="", CodeAndScale[[#This Row],[oChord]]="Err"), 0,
    _xlfn.XLOOKUP(CodeAndScale[[#This Row],[wRoot]], NoteDefinitions[NoteName], NoteDefinitions[BaseDegree], 0)
)</f>
        <v>6</v>
      </c>
      <c r="AK18" s="2">
        <f>IF(OR(CodeAndScale[[#This Row],[oChord]]="", CodeAndScale[[#This Row],[oChord]]="Err"), 0,
    _xlfn.XLOOKUP(CodeAndScale[[#This Row],[wRoot]], NoteDefinitions[NoteName], NoteDefinitions[SemitonePosition], 0)
)</f>
        <v>10</v>
      </c>
      <c r="AL18" s="2" t="str" cm="1">
        <f t="array" ref="AL18">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M3</v>
      </c>
    </row>
    <row r="19" spans="1:38" ht="17.45" customHeight="1" x14ac:dyDescent="0.25">
      <c r="A19" s="8" t="s">
        <v>358</v>
      </c>
      <c r="B19" s="8" t="s">
        <v>348</v>
      </c>
      <c r="C19" s="9"/>
      <c r="D19" s="6" t="str" cm="1">
        <f t="array" ref="D19">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Am7</v>
      </c>
      <c r="E19" s="2" t="str" cm="1">
        <f t="array" ref="E19">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Ebm7</v>
      </c>
      <c r="F19" s="2" t="str" cm="1">
        <f t="array" ref="F19">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VIm7</v>
      </c>
      <c r="G19" s="2" t="str" cm="1">
        <f t="array" ref="G19">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Aeolian</v>
      </c>
      <c r="H19" s="7" t="str" cm="1">
        <f t="array" ref="H19">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I19" s="7" t="str" cm="1">
        <f t="array" ref="I19">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J19" s="7" t="str" cm="1">
        <f t="array" ref="J19">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K19" s="7" t="str" cm="1">
        <f t="array" ref="K19">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L19" s="7" t="str" cm="1">
        <f t="array" ref="L19">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19" s="7" t="str" cm="1">
        <f t="array" ref="M19">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19" s="7" t="str" cm="1">
        <f t="array" ref="N19">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19" s="7" t="str" cm="1">
        <f t="array" ref="O19">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19" s="7" t="str" cm="1">
        <f t="array" ref="P19">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Q19" s="7" t="str" cm="1">
        <f t="array" ref="Q19">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R19" s="7" t="str" cm="1">
        <f t="array" ref="R19">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(Cb)</v>
      </c>
      <c r="S19" s="7" t="str" cm="1">
        <f t="array" ref="S19">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19" s="7" t="str" cm="1">
        <f t="array" ref="T19">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U19" s="7" t="str" cm="1">
        <f t="array" ref="U19">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V19" s="7" t="str" cm="1">
        <f t="array" ref="V19">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W19" s="7" t="str" cm="1">
        <f t="array" ref="W19">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X19" s="7" t="str" cm="1">
        <f t="array" ref="X19">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Y19" s="7" t="str" cm="1">
        <f t="array" ref="Y19">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Z19" s="7" t="str" cm="1">
        <f t="array" ref="Z19">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AA19" s="7" t="str" cm="1">
        <f t="array" ref="AA19">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19" s="7" t="str" cm="1">
        <f t="array" ref="AB19">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19" s="2" t="str" cm="1">
        <f t="array" ref="AC19">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19" s="2" t="str" cm="1">
        <f t="array" ref="AD19">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19" s="2" t="str" cm="1">
        <f t="array" ref="AE19">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19" s="2" t="str" cm="1">
        <f t="array" ref="AF19">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19" s="2" t="str" cm="1">
        <f t="array" ref="AG19">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19"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Eb</v>
      </c>
      <c r="AI19" s="2" t="str">
        <f>IF(OR(CodeAndScale[[#This Row],[oChord]]="", CodeAndScale[[#This Row],[oChord]]="Err"), CodeAndScale[[#This Row],[oChord]],
    SUBSTITUTE(CodeAndScale[[#This Row],[oChord]], CodeAndScale[[#This Row],[wRoot]], "", 1)
)</f>
        <v>m7</v>
      </c>
      <c r="AJ19" s="2">
        <f>IF(OR(CodeAndScale[[#This Row],[oChord]]="", CodeAndScale[[#This Row],[oChord]]="Err"), 0,
    _xlfn.XLOOKUP(CodeAndScale[[#This Row],[wRoot]], NoteDefinitions[NoteName], NoteDefinitions[BaseDegree], 0)
)</f>
        <v>2</v>
      </c>
      <c r="AK19" s="2">
        <f>IF(OR(CodeAndScale[[#This Row],[oChord]]="", CodeAndScale[[#This Row],[oChord]]="Err"), 0,
    _xlfn.XLOOKUP(CodeAndScale[[#This Row],[wRoot]], NoteDefinitions[NoteName], NoteDefinitions[SemitonePosition], 0)
)</f>
        <v>3</v>
      </c>
      <c r="AL19" s="2" t="str" cm="1">
        <f t="array" ref="AL19">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M6</v>
      </c>
    </row>
    <row r="20" spans="1:38" ht="17.45" customHeight="1" x14ac:dyDescent="0.25">
      <c r="A20" s="8" t="s">
        <v>358</v>
      </c>
      <c r="B20" s="8" t="s">
        <v>349</v>
      </c>
      <c r="C20" s="9"/>
      <c r="D20" s="6" t="str" cm="1">
        <f t="array" ref="D20">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Dm7</v>
      </c>
      <c r="E20" s="2" t="str" cm="1">
        <f t="array" ref="E20">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Abm7</v>
      </c>
      <c r="F20" s="2" t="str" cm="1">
        <f t="array" ref="F20">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IIm7</v>
      </c>
      <c r="G20" s="2" t="str" cm="1">
        <f t="array" ref="G20">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Dorian</v>
      </c>
      <c r="H20" s="7" t="str" cm="1">
        <f t="array" ref="H20">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I20" s="7" t="str" cm="1">
        <f t="array" ref="I20">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J20" s="7" t="str" cm="1">
        <f t="array" ref="J20">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K20" s="7" t="str" cm="1">
        <f t="array" ref="K20">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L20" s="7" t="str" cm="1">
        <f t="array" ref="L20">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20" s="7" t="str" cm="1">
        <f t="array" ref="M20">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0" s="7" t="str" cm="1">
        <f t="array" ref="N20">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0" s="7" t="str" cm="1">
        <f t="array" ref="O20">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0" s="7" t="str" cm="1">
        <f t="array" ref="P20">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Q20" s="7" t="str" cm="1">
        <f t="array" ref="Q20">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R20" s="7" t="str" cm="1">
        <f t="array" ref="R20">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20" s="7" t="str" cm="1">
        <f t="array" ref="S20">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0" s="7" t="str" cm="1">
        <f t="array" ref="T20">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U20" s="7" t="str" cm="1">
        <f t="array" ref="U20">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V20" s="7" t="str" cm="1">
        <f t="array" ref="V20">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W20" s="7" t="str" cm="1">
        <f t="array" ref="W20">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X20" s="7" t="str" cm="1">
        <f t="array" ref="X20">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Y20" s="7" t="str" cm="1">
        <f t="array" ref="Y20">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Z20" s="7" t="str" cm="1">
        <f t="array" ref="Z20">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AA20" s="7" t="str" cm="1">
        <f t="array" ref="AA20">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20" s="7" t="str" cm="1">
        <f t="array" ref="AB20">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0" s="2" t="str" cm="1">
        <f t="array" ref="AC20">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Aeolian</v>
      </c>
      <c r="AD20" s="2" t="str" cm="1">
        <f t="array" ref="AD20">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20" s="2" t="str" cm="1">
        <f t="array" ref="AE20">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20" s="2" t="str" cm="1">
        <f t="array" ref="AF20">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20" s="2" t="str" cm="1">
        <f t="array" ref="AG20">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20"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Ab</v>
      </c>
      <c r="AI20" s="2" t="str">
        <f>IF(OR(CodeAndScale[[#This Row],[oChord]]="", CodeAndScale[[#This Row],[oChord]]="Err"), CodeAndScale[[#This Row],[oChord]],
    SUBSTITUTE(CodeAndScale[[#This Row],[oChord]], CodeAndScale[[#This Row],[wRoot]], "", 1)
)</f>
        <v>m7</v>
      </c>
      <c r="AJ20" s="2">
        <f>IF(OR(CodeAndScale[[#This Row],[oChord]]="", CodeAndScale[[#This Row],[oChord]]="Err"), 0,
    _xlfn.XLOOKUP(CodeAndScale[[#This Row],[wRoot]], NoteDefinitions[NoteName], NoteDefinitions[BaseDegree], 0)
)</f>
        <v>5</v>
      </c>
      <c r="AK20" s="2">
        <f>IF(OR(CodeAndScale[[#This Row],[oChord]]="", CodeAndScale[[#This Row],[oChord]]="Err"), 0,
    _xlfn.XLOOKUP(CodeAndScale[[#This Row],[wRoot]], NoteDefinitions[NoteName], NoteDefinitions[SemitonePosition], 0)
)</f>
        <v>8</v>
      </c>
      <c r="AL20" s="2" t="str" cm="1">
        <f t="array" ref="AL20">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M2</v>
      </c>
    </row>
    <row r="21" spans="1:38" ht="17.45" customHeight="1" x14ac:dyDescent="0.25">
      <c r="A21" s="8" t="s">
        <v>358</v>
      </c>
      <c r="B21" s="8" t="s">
        <v>350</v>
      </c>
      <c r="C21" s="9"/>
      <c r="D21" s="6" t="str" cm="1">
        <f t="array" ref="D21">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G7</v>
      </c>
      <c r="E21" s="2" t="str" cm="1">
        <f t="array" ref="E21">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Db7</v>
      </c>
      <c r="F21" s="2" t="str" cm="1">
        <f t="array" ref="F21">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V7</v>
      </c>
      <c r="G21" s="2" t="str" cm="1">
        <f t="array" ref="G21">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Mixolydian</v>
      </c>
      <c r="H21" s="7" t="str" cm="1">
        <f t="array" ref="H21">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I21" s="7" t="str" cm="1">
        <f t="array" ref="I21">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J21" s="7" t="str" cm="1">
        <f t="array" ref="J21">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K21" s="7" t="str" cm="1">
        <f t="array" ref="K21">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L21" s="7" t="str" cm="1">
        <f t="array" ref="L21">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21" s="7" t="str" cm="1">
        <f t="array" ref="M21">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1" s="7" t="str" cm="1">
        <f t="array" ref="N21">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1" s="7" t="str" cm="1">
        <f t="array" ref="O21">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1" s="7" t="str" cm="1">
        <f t="array" ref="P21">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Q21" s="7" t="str" cm="1">
        <f t="array" ref="Q21">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R21" s="7" t="str" cm="1">
        <f t="array" ref="R21">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(Gb)</v>
      </c>
      <c r="S21" s="7" t="str" cm="1">
        <f t="array" ref="S21">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1" s="7" t="str" cm="1">
        <f t="array" ref="T21">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U21" s="7" t="str" cm="1">
        <f t="array" ref="U21">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V21" s="7" t="str" cm="1">
        <f t="array" ref="V21">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W21" s="7" t="str" cm="1">
        <f t="array" ref="W21">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X21" s="7" t="str" cm="1">
        <f t="array" ref="X21">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Y21" s="7" t="str" cm="1">
        <f t="array" ref="Y21">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Z21" s="7" t="str" cm="1">
        <f t="array" ref="Z21">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AA21" s="7" t="str" cm="1">
        <f t="array" ref="AA21">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21" s="7" t="str" cm="1">
        <f t="array" ref="AB21">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1" s="2" t="str" cm="1">
        <f t="array" ref="AC21">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Lydian Dominant</v>
      </c>
      <c r="AD21" s="2" t="str" cm="1">
        <f t="array" ref="AD21">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Whole Tone</v>
      </c>
      <c r="AE21" s="2" t="str" cm="1">
        <f t="array" ref="AE21">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Altered</v>
      </c>
      <c r="AF21" s="2" t="str" cm="1">
        <f t="array" ref="AF21">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HMP5 below</v>
      </c>
      <c r="AG21" s="2" t="str" cm="1">
        <f t="array" ref="AG21">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Bebop Dominant</v>
      </c>
      <c r="AH21"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Db</v>
      </c>
      <c r="AI21" s="2" t="str">
        <f>IF(OR(CodeAndScale[[#This Row],[oChord]]="", CodeAndScale[[#This Row],[oChord]]="Err"), CodeAndScale[[#This Row],[oChord]],
    SUBSTITUTE(CodeAndScale[[#This Row],[oChord]], CodeAndScale[[#This Row],[wRoot]], "", 1)
)</f>
        <v>7</v>
      </c>
      <c r="AJ21" s="2">
        <f>IF(OR(CodeAndScale[[#This Row],[oChord]]="", CodeAndScale[[#This Row],[oChord]]="Err"), 0,
    _xlfn.XLOOKUP(CodeAndScale[[#This Row],[wRoot]], NoteDefinitions[NoteName], NoteDefinitions[BaseDegree], 0)
)</f>
        <v>1</v>
      </c>
      <c r="AK21" s="2">
        <f>IF(OR(CodeAndScale[[#This Row],[oChord]]="", CodeAndScale[[#This Row],[oChord]]="Err"), 0,
    _xlfn.XLOOKUP(CodeAndScale[[#This Row],[wRoot]], NoteDefinitions[NoteName], NoteDefinitions[SemitonePosition], 0)
)</f>
        <v>1</v>
      </c>
      <c r="AL21" s="2" t="str" cm="1">
        <f t="array" ref="AL21">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P5</v>
      </c>
    </row>
    <row r="22" spans="1:38" ht="17.45" customHeight="1" x14ac:dyDescent="0.25">
      <c r="A22" s="8" t="s">
        <v>358</v>
      </c>
      <c r="B22" s="8" t="s">
        <v>351</v>
      </c>
      <c r="C22" s="9"/>
      <c r="D22" s="6" t="str" cm="1">
        <f t="array" ref="D22">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CM7</v>
      </c>
      <c r="E22" s="2" t="str" cm="1">
        <f t="array" ref="E22">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GbM7</v>
      </c>
      <c r="F22" s="2" t="str" cm="1">
        <f t="array" ref="F22">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IM7</v>
      </c>
      <c r="G22" s="2" t="str" cm="1">
        <f t="array" ref="G22">IF(CodeAndScale[[#This Row],[oChord]]="", "",
    IF(CodeAndScale[[#This Row],[oChord]]="Err", "Err",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Ionian</v>
      </c>
      <c r="H22" s="7" t="str" cm="1">
        <f t="array" ref="H22">IF(OR(CodeAndScale[[#This Row],[ScaleName]]="", CodeAndScale[[#This Row],[ScaleName]]="Err",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Gb</v>
      </c>
      <c r="I22" s="7" t="str" cm="1">
        <f t="array" ref="I22">IF(OR(CodeAndScale[[#This Row],[ScaleName]]="", CodeAndScale[[#This Row],[ScaleName]]="Err",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J22" s="7" t="str" cm="1">
        <f t="array" ref="J22">IF(OR(CodeAndScale[[#This Row],[ScaleName]]="", CodeAndScale[[#This Row],[ScaleName]]="Err",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Db</v>
      </c>
      <c r="K22" s="7" t="str" cm="1">
        <f t="array" ref="K22">IF(OR(CodeAndScale[[#This Row],[ScaleName]]="", CodeAndScale[[#This Row],[ScaleName]]="Err",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L22" s="7" t="str" cm="1">
        <f t="array" ref="L22">IF(OR(CodeAndScale[[#This Row],[ScaleName]]="", CodeAndScale[[#This Row],[ScaleName]]="Err",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22" s="7" t="str" cm="1">
        <f t="array" ref="M22">IF(OR(CodeAndScale[[#This Row],[ScaleName]]="", CodeAndScale[[#This Row],[ScaleName]]="Err",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2" s="7" t="str" cm="1">
        <f t="array" ref="N22">IF(OR(CodeAndScale[[#This Row],[ScaleName]]="", CodeAndScale[[#This Row],[ScaleName]]="Err",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2" s="7" t="str" cm="1">
        <f t="array" ref="O22">IF(OR(CodeAndScale[[#This Row],[ScaleName]]="", CodeAndScale[[#This Row],[ScaleName]]="Err",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2" s="7" t="str" cm="1">
        <f t="array" ref="P22">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Q22" s="7" t="str" cm="1">
        <f t="array" ref="Q22">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R22" s="7" t="str" cm="1">
        <f t="array" ref="R22">IF(OR(CodeAndScale[[#This Row],[ScaleName]]="", CodeAndScale[[#This Row],[ScaleName]]="Err",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(Cb)</v>
      </c>
      <c r="S22" s="7" t="str" cm="1">
        <f t="array" ref="S22">IF(OR(CodeAndScale[[#This Row],[ScaleName]]="", CodeAndScale[[#This Row],[ScaleName]]="Err",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2" s="7" t="str" cm="1">
        <f t="array" ref="T22">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U22" s="7" t="str" cm="1">
        <f t="array" ref="U22">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V22" s="7" t="str" cm="1">
        <f t="array" ref="V22">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W22" s="7" t="str" cm="1">
        <f t="array" ref="W22">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X22" s="7" t="str" cm="1">
        <f t="array" ref="X22">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Y22" s="7" t="str" cm="1">
        <f t="array" ref="Y22">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Z22" s="7" t="str" cm="1">
        <f t="array" ref="Z22">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AA22" s="7" t="str" cm="1">
        <f t="array" ref="AA22">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22" s="7" t="str" cm="1">
        <f t="array" ref="AB22">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2" s="2" t="str" cm="1">
        <f t="array" ref="AC22">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Lydian</v>
      </c>
      <c r="AD22" s="2" t="str" cm="1">
        <f t="array" ref="AD22">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Okinawa</v>
      </c>
      <c r="AE22" s="2" t="str" cm="1">
        <f t="array" ref="AE22">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22" s="2" t="str" cm="1">
        <f t="array" ref="AF22">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22" s="2" t="str" cm="1">
        <f t="array" ref="AG22">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22" s="2" t="str">
        <f>IF(OR(CodeAndScale[[#This Row],[oChord]]="", CodeAndScale[[#This Row],[oChord]]="Err"), CodeAndScale[[#This Row],[oChord]],
    _xlfn.LET(
        _xlpm.txt, CodeAndScale[[#This Row],[oChord]] &amp; "   ",
        _xlpm.isDouble, OR(MID(_xlpm.txt, 2, 2)="##", MID(_xlpm.txt, 2, 2)="bb"),
        _xlpm.isSingle, OR(MID(_xlpm.txt, 2, 1)="#", MID(_xlpm.txt, 2, 1)="b"),
        _xlpm.len, IF(_xlpm.isDouble, 3, IF(_xlpm.isSingle, 2, 1)),
        LEFT(_xlpm.txt, _xlpm.len)
    )
)</f>
        <v>Gb</v>
      </c>
      <c r="AI22" s="2" t="str">
        <f>IF(OR(CodeAndScale[[#This Row],[oChord]]="", CodeAndScale[[#This Row],[oChord]]="Err"), CodeAndScale[[#This Row],[oChord]],
    SUBSTITUTE(CodeAndScale[[#This Row],[oChord]], CodeAndScale[[#This Row],[wRoot]], "", 1)
)</f>
        <v>M7</v>
      </c>
      <c r="AJ22" s="2">
        <f>IF(OR(CodeAndScale[[#This Row],[oChord]]="", CodeAndScale[[#This Row],[oChord]]="Err"), 0,
    _xlfn.XLOOKUP(CodeAndScale[[#This Row],[wRoot]], NoteDefinitions[NoteName], NoteDefinitions[BaseDegree], 0)
)</f>
        <v>4</v>
      </c>
      <c r="AK22" s="2">
        <f>IF(OR(CodeAndScale[[#This Row],[oChord]]="", CodeAndScale[[#This Row],[oChord]]="Err"), 0,
    _xlfn.XLOOKUP(CodeAndScale[[#This Row],[wRoot]], NoteDefinitions[NoteName], NoteDefinitions[SemitonePosition], 0)
)</f>
        <v>6</v>
      </c>
      <c r="AL22" s="2" t="str" cm="1">
        <f t="array" ref="AL22">IF(OR(CodeAndScale[[#This Row],[oChord]]="", CodeAndScale[[#This Row],[oChord]]="Err"),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P1</v>
      </c>
    </row>
    <row r="23" spans="1:38" ht="17.45" customHeight="1" x14ac:dyDescent="0.25">
      <c r="A23" s="8"/>
      <c r="B23" s="8"/>
      <c r="C23" s="9"/>
      <c r="D23" s="6" t="str" cm="1">
        <f t="array" ref="D23">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
      </c>
      <c r="E23" s="2" t="str" cm="1">
        <f t="array" ref="E23">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
      </c>
      <c r="F23" s="2" t="str" cm="1">
        <f t="array" ref="F23">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
      </c>
      <c r="G23" s="2" t="str" cm="1">
        <f t="array" ref="G23">IF(CodeAndScale[[#This Row],[oChord]]="", "",
    IF(CodeAndScale[[#This Row],[oChord]]="---", "---",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
      </c>
      <c r="H23" s="7" t="str" cm="1">
        <f t="array" ref="H23">IF(OR(CodeAndScale[[#This Row],[ScaleName]]="", CodeAndScale[[#This Row],[ScaleName]]="---",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I23" s="7" t="str" cm="1">
        <f t="array" ref="I23">IF(OR(CodeAndScale[[#This Row],[ScaleName]]="", CodeAndScale[[#This Row],[ScaleName]]="---",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J23" s="7" t="str" cm="1">
        <f t="array" ref="J23">IF(OR(CodeAndScale[[#This Row],[ScaleName]]="", CodeAndScale[[#This Row],[ScaleName]]="---",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K23" s="7" t="str" cm="1">
        <f t="array" ref="K23">IF(OR(CodeAndScale[[#This Row],[ScaleName]]="", CodeAndScale[[#This Row],[ScaleName]]="---",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L23" s="7" t="str" cm="1">
        <f t="array" ref="L23">IF(OR(CodeAndScale[[#This Row],[ScaleName]]="", CodeAndScale[[#This Row],[ScaleName]]="---",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23" s="7" t="str" cm="1">
        <f t="array" ref="M23">IF(OR(CodeAndScale[[#This Row],[ScaleName]]="", CodeAndScale[[#This Row],[ScaleName]]="---",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3" s="7" t="str" cm="1">
        <f t="array" ref="N23">IF(OR(CodeAndScale[[#This Row],[ScaleName]]="", CodeAndScale[[#This Row],[ScaleName]]="---",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3" s="7" t="str" cm="1">
        <f t="array" ref="O23">IF(OR(CodeAndScale[[#This Row],[ScaleName]]="", CodeAndScale[[#This Row],[ScaleName]]="---",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3" s="7" t="str" cm="1">
        <f t="array" ref="P23">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Q23" s="7" t="str" cm="1">
        <f t="array" ref="Q23">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R23" s="7" t="str" cm="1">
        <f t="array" ref="R23">IF(OR(CodeAndScale[[#This Row],[ScaleName]]="", CodeAndScale[[#This Row],[ScaleName]]="---",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23" s="7" t="str" cm="1">
        <f t="array" ref="S23">IF(OR(CodeAndScale[[#This Row],[ScaleName]]="", CodeAndScale[[#This Row],[ScaleName]]="---",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3" s="7" t="str" cm="1">
        <f t="array" ref="T23">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U23" s="7" t="str" cm="1">
        <f t="array" ref="U23">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V23" s="7" t="str" cm="1">
        <f t="array" ref="V23">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W23" s="7" t="str" cm="1">
        <f t="array" ref="W23">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X23" s="7" t="str" cm="1">
        <f t="array" ref="X23">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Y23" s="7" t="str" cm="1">
        <f t="array" ref="Y23">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Z23" s="7" t="str" cm="1">
        <f t="array" ref="Z23">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A23" s="7" t="str" cm="1">
        <f t="array" ref="AA23">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23" s="7" t="str" cm="1">
        <f t="array" ref="AB23">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3" s="2" t="str" cm="1">
        <f t="array" ref="AC23">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23" s="2" t="str" cm="1">
        <f t="array" ref="AD23">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23" s="2" t="str" cm="1">
        <f t="array" ref="AE23">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23" s="2" t="str" cm="1">
        <f t="array" ref="AF23">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23" s="2" t="str" cm="1">
        <f t="array" ref="AG23">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23" s="2" t="str">
        <f>IF(OR(CodeAndScale[[#This Row],[oChord]]="", CodeAndScale[[#This Row],[oChord]]="---"), CodeAndScale[[#This Row],[oChord]],
    _xlfn.LET(
        _xlpm.txt, CodeAndScale[[#This Row],[oChord]] &amp; "   ",
        _xlpm.isDouble, OR(MID(_xlpm.txt, 2, 2)="##", MID(_xlpm.txt, 2, 2)="bb"),
        _xlpm.isSingle, OR(MID(_xlpm.txt, 2, 1)="#", MID(_xlpm.txt, 2, 1)="b"),
        _xlpm.len, IF(_xlpm.isDouble, 3, IF(_xlpm.isSingle, 2, 1)),
        LEFT(_xlpm.txt, _xlpm.len)
    )
)</f>
        <v/>
      </c>
      <c r="AI23" s="2" t="str">
        <f>IF(OR(CodeAndScale[[#This Row],[oChord]]="", CodeAndScale[[#This Row],[oChord]]="---"), CodeAndScale[[#This Row],[oChord]],
    SUBSTITUTE(CodeAndScale[[#This Row],[oChord]], CodeAndScale[[#This Row],[wRoot]], "", 1)
)</f>
        <v/>
      </c>
      <c r="AJ23" s="2">
        <f>IF(OR(CodeAndScale[[#This Row],[oChord]]="", CodeAndScale[[#This Row],[oChord]]="---"), 0,
    _xlfn.XLOOKUP(CodeAndScale[[#This Row],[wRoot]], NoteDefinitions[NoteName], NoteDefinitions[BaseDegree], 0)
)</f>
        <v>0</v>
      </c>
      <c r="AK23" s="2">
        <f>IF(OR(CodeAndScale[[#This Row],[oChord]]="", CodeAndScale[[#This Row],[oChord]]="---"), 0,
    _xlfn.XLOOKUP(CodeAndScale[[#This Row],[wRoot]], NoteDefinitions[NoteName], NoteDefinitions[SemitonePosition], 0)
)</f>
        <v>0</v>
      </c>
      <c r="AL23" s="2" t="str" cm="1">
        <f t="array" ref="AL23">IF(OR(CodeAndScale[[#This Row],[oChord]]="", CodeAndScale[[#This Row],[oChord]]="---"),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
      </c>
    </row>
    <row r="24" spans="1:38" ht="17.45" customHeight="1" x14ac:dyDescent="0.25">
      <c r="A24" s="8" t="s">
        <v>343</v>
      </c>
      <c r="B24" s="8" t="s">
        <v>322</v>
      </c>
      <c r="C24" s="8"/>
      <c r="D24" s="6" t="str" cm="1">
        <f t="array" ref="D24">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Bm7b5</v>
      </c>
      <c r="E24" s="2" t="str" cm="1">
        <f t="array" ref="E24">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Fm7b5</v>
      </c>
      <c r="F24" s="2" t="str" cm="1">
        <f t="array" ref="F24">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IIm7b5</v>
      </c>
      <c r="G24" s="2" t="str" cm="1">
        <f t="array" ref="G24">IF(CodeAndScale[[#This Row],[oChord]]="", "",
    IF(CodeAndScale[[#This Row],[oChord]]="---", "---",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Locrian</v>
      </c>
      <c r="H24" s="7" t="str" cm="1">
        <f t="array" ref="H24">IF(OR(CodeAndScale[[#This Row],[ScaleName]]="", CodeAndScale[[#This Row],[ScaleName]]="---",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I24" s="7" t="str" cm="1">
        <f t="array" ref="I24">IF(OR(CodeAndScale[[#This Row],[ScaleName]]="", CodeAndScale[[#This Row],[ScaleName]]="---",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J24" s="7" t="str" cm="1">
        <f t="array" ref="J24">IF(OR(CodeAndScale[[#This Row],[ScaleName]]="", CodeAndScale[[#This Row],[ScaleName]]="---",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K24" s="7" t="str" cm="1">
        <f t="array" ref="K24">IF(OR(CodeAndScale[[#This Row],[ScaleName]]="", CodeAndScale[[#This Row],[ScaleName]]="---",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L24" s="7" t="str" cm="1">
        <f t="array" ref="L24">IF(OR(CodeAndScale[[#This Row],[ScaleName]]="", CodeAndScale[[#This Row],[ScaleName]]="---",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M24" s="7" t="str" cm="1">
        <f t="array" ref="M24">IF(OR(CodeAndScale[[#This Row],[ScaleName]]="", CodeAndScale[[#This Row],[ScaleName]]="---",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4" s="7" t="str" cm="1">
        <f t="array" ref="N24">IF(OR(CodeAndScale[[#This Row],[ScaleName]]="", CodeAndScale[[#This Row],[ScaleName]]="---",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4" s="7" t="str" cm="1">
        <f t="array" ref="O24">IF(OR(CodeAndScale[[#This Row],[ScaleName]]="", CodeAndScale[[#This Row],[ScaleName]]="---",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4" s="7" t="str" cm="1">
        <f t="array" ref="P24">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Q24" s="7" t="str" cm="1">
        <f t="array" ref="Q24">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Eb</v>
      </c>
      <c r="R24" s="7" t="str" cm="1">
        <f t="array" ref="R24">IF(OR(CodeAndScale[[#This Row],[ScaleName]]="", CodeAndScale[[#This Row],[ScaleName]]="---",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(Gb)</v>
      </c>
      <c r="S24" s="7" t="str" cm="1">
        <f t="array" ref="S24">IF(OR(CodeAndScale[[#This Row],[ScaleName]]="", CodeAndScale[[#This Row],[ScaleName]]="---",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4" s="7" t="str" cm="1">
        <f t="array" ref="T24">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U24" s="7" t="str" cm="1">
        <f t="array" ref="U24">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(Gb)</v>
      </c>
      <c r="V24" s="7" t="str" cm="1">
        <f t="array" ref="V24">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W24" s="7" t="str" cm="1">
        <f t="array" ref="W24">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X24" s="7" t="str" cm="1">
        <f t="array" ref="X24">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Y24" s="7" t="str" cm="1">
        <f t="array" ref="Y24">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Z24" s="7" t="str" cm="1">
        <f t="array" ref="Z24">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Eb'</v>
      </c>
      <c r="AA24" s="7" t="str" cm="1">
        <f t="array" ref="AA24">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B24" s="7" t="str" cm="1">
        <f t="array" ref="AB24">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4" s="2" t="str" cm="1">
        <f t="array" ref="AC24">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Locrian #2</v>
      </c>
      <c r="AD24" s="2" t="str" cm="1">
        <f t="array" ref="AD24">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24" s="2" t="str" cm="1">
        <f t="array" ref="AE24">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24" s="2" t="str" cm="1">
        <f t="array" ref="AF24">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24" s="2" t="str" cm="1">
        <f t="array" ref="AG24">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24" s="2" t="str">
        <f>IF(OR(CodeAndScale[[#This Row],[oChord]]="", CodeAndScale[[#This Row],[oChord]]="---"), CodeAndScale[[#This Row],[oChord]],
    _xlfn.LET(
        _xlpm.txt, CodeAndScale[[#This Row],[oChord]] &amp; "   ",
        _xlpm.isDouble, OR(MID(_xlpm.txt, 2, 2)="##", MID(_xlpm.txt, 2, 2)="bb"),
        _xlpm.isSingle, OR(MID(_xlpm.txt, 2, 1)="#", MID(_xlpm.txt, 2, 1)="b"),
        _xlpm.len, IF(_xlpm.isDouble, 3, IF(_xlpm.isSingle, 2, 1)),
        LEFT(_xlpm.txt, _xlpm.len)
    )
)</f>
        <v>F</v>
      </c>
      <c r="AI24" s="2" t="str">
        <f>IF(OR(CodeAndScale[[#This Row],[oChord]]="", CodeAndScale[[#This Row],[oChord]]="---"), CodeAndScale[[#This Row],[oChord]],
    SUBSTITUTE(CodeAndScale[[#This Row],[oChord]], CodeAndScale[[#This Row],[wRoot]], "", 1)
)</f>
        <v>m7b5</v>
      </c>
      <c r="AJ24" s="2">
        <f>IF(OR(CodeAndScale[[#This Row],[oChord]]="", CodeAndScale[[#This Row],[oChord]]="---"), 0,
    _xlfn.XLOOKUP(CodeAndScale[[#This Row],[wRoot]], NoteDefinitions[NoteName], NoteDefinitions[BaseDegree], 0)
)</f>
        <v>3</v>
      </c>
      <c r="AK24" s="2">
        <f>IF(OR(CodeAndScale[[#This Row],[oChord]]="", CodeAndScale[[#This Row],[oChord]]="---"), 0,
    _xlfn.XLOOKUP(CodeAndScale[[#This Row],[wRoot]], NoteDefinitions[NoteName], NoteDefinitions[SemitonePosition], 0)
)</f>
        <v>5</v>
      </c>
      <c r="AL24" s="2" t="str" cm="1">
        <f t="array" ref="AL24">IF(OR(CodeAndScale[[#This Row],[oChord]]="", CodeAndScale[[#This Row],[oChord]]="---"),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M2</v>
      </c>
    </row>
    <row r="25" spans="1:38" ht="17.45" customHeight="1" x14ac:dyDescent="0.25">
      <c r="A25" s="8" t="s">
        <v>343</v>
      </c>
      <c r="B25" s="8" t="s">
        <v>352</v>
      </c>
      <c r="C25" s="9"/>
      <c r="D25" s="6" t="str" cm="1">
        <f t="array" ref="D25">IF(OR(CodeAndScale[[#This Row],[oChord]]="", CodeAndScale[[#This Row],[oChord]]="---"), CodeAndScale[[#This Row],[oChord]],
    _xlfn.LET(
        _xlpm._IsMinor, ISNUMBER(SEARCH("m", CodeAndScale[[#This Row],[KeyIn]])),
        _xlpm._BaseDeg, IF(_xlpm._IsMinor, 5, 0),
        _xlpm._BaseSemi, IF(_xlpm._IsMinor, 9, 0),
        _xlpm._RelInt, CodeAndScale[[#This Row],[wKeyRelDeg]],
        _xlpm._dDeg, _xlfn.XLOOKUP(TRUE, EXACT(_xlpm._RelInt, IntervalDefinitions[IntervalID]), IntervalDefinitions[DeltaDegree]),
        _xlpm._dSemi, _xlfn.XLOOKUP(TRUE, EXACT(_xlpm._RelInt, IntervalDefinitions[IntervalID]), IntervalDefinitions[DeltaSemitone]),
        _xlpm._tDeg, MOD(_xlpm._BaseDeg + _xlpm._dDeg, 7),
        _xlpm._tSemi, MOD(_xlpm._BaseSemi + _xlpm._dSemi, 12),
        _xlpm._RootName, _xlfn.XLOOKUP(_xlpm._tDeg &amp; "_" &amp; _xlpm._tSemi, NoteDefinitions[BaseDegree] &amp; "_" &amp; NoteDefinitions[SemitonePosition], NoteDefinitions[NoteName]),
        IF(ISERROR(_xlpm._RootName), "---", _xlpm._RootName &amp; CodeAndScale[[#This Row],[wQuality]])
    )
)</f>
        <v>E7b9</v>
      </c>
      <c r="E25" s="2" t="str" cm="1">
        <f t="array" ref="E25">_xlfn.LET(
    _xlpm._Key, CodeAndScale[[#This Row],[KeyIn]],
    _xlpm._iDirect, CodeAndScale[[#This Row],[iChord]],
    _xlpm._iRel, CodeAndScale[[#This Row],[iChordInC]],
    _xlpm._KeyRoot, LEFT(_xlpm._Key, IF(OR(MID(_xlpm._Key,2,1)="#", MID(_xlpm._Key,2,1)="b"), 2, 1)),
    _xlpm._IsValidKey, NOT(ISERROR(_xlfn.XLOOKUP(_xlpm._KeyRoot, NoteDefinitions[NoteName], NoteDefinitions[BaseDegree]))),
    IF(_xlpm._Key="", "",
    IF(NOT(_xlpm._IsValidKey), "---",
    IF(AND(_xlpm._iDirect="", _xlpm._iRel=""), "",
        _xlfn.LET(
            _xlpm._CalcFromRel, IF(_xlpm._iRel="", "",
                _xlfn.LET(
                    _xlpm._IsMinor, ISNUMBER(SEARCH("m", _xlpm._Key)),
                    _xlpm._RefDeg, IF(_xlpm._IsMinor, 5, 0),
                    _xlpm._RefSemi, IF(_xlpm._IsMinor, 9, 0),
                    _xlpm._Txt, _xlpm._iRel &amp; "   ",
                    _xlpm._IsDouble, OR(MID(_xlpm._Txt,2,2)="##", MID(_xlpm._Txt,2,2)="bb"),
                    _xlpm._IsSingle, OR(MID(_xlpm._Txt,2,1)="#", MID(_xlpm._Txt,2,1)="b"),
                    _xlpm._Len, IF(_xlpm._IsDouble, 3, IF(_xlpm._IsSingle, 2, 1)),
                    _xlpm._RelRoot, LEFT(_xlpm._Txt, _xlpm._Len),
                    _xlpm._Quality, TRIM(MID(_xlpm._Txt, _xlpm._Len+1, 99)),
                    _xlpm._KTxt, _xlpm._Key &amp; "   ",
                    _xlpm._KIsDouble, OR(MID(_xlpm._KTxt,2,2)="##", MID(_xlpm._KTxt,2,2)="bb"),
                    _xlpm._KIsSingle, OR(MID(_xlpm._KTxt,2,1)="#", MID(_xlpm._KTxt,2,1)="b"),
                    _xlpm._KLen, IF(_xlpm._KIsDouble, 3, IF(_xlpm._KIsSingle, 2, 1)),
                    _xlpm._KeyRootName, LEFT(_xlpm._KTxt, _xlpm._KLen),
                    _xlpm._KDeg, _xlfn.XLOOKUP(_xlpm._KeyRootName, NoteDefinitions[NoteName], NoteDefinitions[BaseDegree]),
                    _xlpm._KSemi, _xlfn.XLOOKUP(_xlpm._KeyRootName, NoteDefinitions[NoteName], NoteDefinitions[SemitonePosition]),
                    _xlpm._RDeg, _xlfn.XLOOKUP(_xlpm._RelRoot, NoteDefinitions[NoteName], NoteDefinitions[BaseDegree]),
                    _xlpm._RSemi, _xlfn.XLOOKUP(_xlpm._RelRoot, NoteDefinitions[NoteName], NoteDefinitions[SemitonePosition]),
                    _xlpm._TargetDeg, MOD(_xlpm._KDeg + (_xlpm._RDeg - _xlpm._RefDeg), 7),
                    _xlpm._TargetSemi, MOD(_xlpm._KSemi + (_xlpm._RSemi - _xlpm._RefSemi), 12),
                    _xlpm._ResultRoot, _xlfn.XLOOKUP(_xlpm._TargetDeg &amp; "_" &amp; _xlpm._TargetSemi, NoteDefinitions[BaseDegree] &amp; "_" &amp; NoteDefinitions[SemitonePosition], NoteDefinitions[NoteName]),
                    IF(ISERROR(_xlpm._ResultRoot), "---", _xlpm._ResultRoot &amp; _xlpm._Quality)
                )
            ),
            _xlpm._Final, IF(AND(_xlpm._iDirect&lt;&gt;"", _xlpm._iRel&lt;&gt;""),
                IF(_xlpm._iDirect = _xlpm._CalcFromRel, _xlpm._iDirect, "---"),
                IF(_xlpm._iDirect&lt;&gt;"", _xlpm._iDirect, _xlpm._CalcFromRel)
            ),
            IF(_xlpm._Final="---", "---", _xlpm._Final)
        )
    )))
)</f>
        <v>Bb7b9</v>
      </c>
      <c r="F25" s="2" t="str" cm="1">
        <f t="array" ref="F25">IF(OR(CodeAndScale[[#This Row],[oChord]]="",CodeAndScale[[#This Row],[oChord]]="---"), "",
    IF(CodeAndScale[[#This Row],[oChord]]="Err", "Err",
        _xlfn.LET(
            _xlpm.base, _xlfn.XLOOKUP(TRUE, EXACT(CodeAndScale[[#This Row],[wKeyRelDeg]], IntervalDefinitions[IntervalID]), IntervalDefinitions[RomanNumeralBase]),
            IF(ISERROR(_xlpm.base), "Err", _xlpm.base &amp; CodeAndScale[[#This Row],[wQuality]])
        )
    )
)</f>
        <v>V7b9</v>
      </c>
      <c r="G25" s="2" t="str" cm="1">
        <f t="array" ref="G25">IF(CodeAndScale[[#This Row],[oChord]]="", "",
    IF(CodeAndScale[[#This Row],[oChord]]="---", "---",
        _xlfn.LET(
            _xlpm.kType, IF(ISNUMBER(SEARCH("m", CodeAndScale[[#This Row],[KeyIn]])), "Minor", "Major"),
            _xlpm.res, _xlfn.XLOOKUP(1, (ScaleAssignmentRules[KeyType]=_xlpm.kType) * EXACT(ScaleAssignmentRules[DegreeIntervalID], CodeAndScale[[#This Row],[wKeyRelDeg]]) * EXACT(ScaleAssignmentRules[ChordSymbol], CodeAndScale[[#This Row],[wQuality]]) * (ScaleAssignmentRules[UsageType]="Main"), ScaleAssignmentRules[ScaleName]),
            IF(ISERROR(_xlpm.res), "???", _xlpm.res)
        )
    )
)</f>
        <v>H-W Diminished</v>
      </c>
      <c r="H25" s="7" t="str" cm="1">
        <f t="array" ref="H25">IF(OR(CodeAndScale[[#This Row],[ScaleName]]="", CodeAndScale[[#This Row],[ScaleName]]="---", CodeAndScale[[#This Row],[ScaleName]]="???"), "",
    _xlfn.LET(
        _xlpm.idx, 1,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Bb</v>
      </c>
      <c r="I25" s="7" t="str" cm="1">
        <f t="array" ref="I25">IF(OR(CodeAndScale[[#This Row],[ScaleName]]="", CodeAndScale[[#This Row],[ScaleName]]="---", CodeAndScale[[#This Row],[ScaleName]]="???"), "",
    _xlfn.LET(
        _xlpm.idx, 2,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v>
      </c>
      <c r="J25" s="7" t="str" cm="1">
        <f t="array" ref="J25">IF(OR(CodeAndScale[[#This Row],[ScaleName]]="", CodeAndScale[[#This Row],[ScaleName]]="---", CodeAndScale[[#This Row],[ScaleName]]="???"), "",
    _xlfn.LET(
        _xlpm.idx, 3,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F</v>
      </c>
      <c r="K25" s="7" t="str" cm="1">
        <f t="array" ref="K25">IF(OR(CodeAndScale[[#This Row],[ScaleName]]="", CodeAndScale[[#This Row],[ScaleName]]="---", CodeAndScale[[#This Row],[ScaleName]]="???"), "",
    _xlfn.LET(
        _xlpm.idx, 4,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L25" s="7" t="str" cm="1">
        <f t="array" ref="L25">IF(OR(CodeAndScale[[#This Row],[ScaleName]]="", CodeAndScale[[#This Row],[ScaleName]]="---", CodeAndScale[[#This Row],[ScaleName]]="???"), "",
    _xlfn.LET(
        _xlpm.idx, 5,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Cb</v>
      </c>
      <c r="M25" s="7" t="str" cm="1">
        <f t="array" ref="M25">IF(OR(CodeAndScale[[#This Row],[ScaleName]]="", CodeAndScale[[#This Row],[ScaleName]]="---", CodeAndScale[[#This Row],[ScaleName]]="???"), "",
    _xlfn.LET(
        _xlpm.idx, 6,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N25" s="7" t="str" cm="1">
        <f t="array" ref="N25">IF(OR(CodeAndScale[[#This Row],[ScaleName]]="", CodeAndScale[[#This Row],[ScaleName]]="---", CodeAndScale[[#This Row],[ScaleName]]="???"), "",
    _xlfn.LET(
        _xlpm.idx, 7,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O25" s="7" t="str" cm="1">
        <f t="array" ref="O25">IF(OR(CodeAndScale[[#This Row],[ScaleName]]="", CodeAndScale[[#This Row],[ScaleName]]="---", CodeAndScale[[#This Row],[ScaleName]]="???"), "",
    _xlfn.LET(
        _xlpm.idx, 8,
        _xlpm.targetChord, CodeAndScale[[#This Row],[wQuality]],
        _xlpm.defStr, _xlfn.XLOOKUP(TRUE, EXACT(_xlpm.targetChord, ChordDefinitions[ChordSymbol]), ChordDefinitions[IntervalsStructure]),
        _xlpm.check, IF(ISERROR(_xlpm.defStr), "", _xlpm.defStr),
        _xlpm.intervals, _xlfn.TEXTSPLIT(_xlpm.check, ", "),
        _xlpm.targetInt, IFERROR(INDEX(_xlpm.intervals,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
      </c>
      <c r="P25" s="7" t="str" cm="1">
        <f t="array" ref="P25">IF(OR(CodeAndScale[[#This Row],[ScaleName]]="", CodeAndScale[[#This Row],[ScaleName]]="---", CodeAndScale[[#This Row],[ScaleName]]="???"), "",
    _xlfn.LET(
        _xlpm.idx, 1,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D</v>
      </c>
      <c r="Q25" s="7" t="str" cm="1">
        <f t="array" ref="Q25">IF(OR(CodeAndScale[[#This Row],[ScaleName]]="", CodeAndScale[[#This Row],[ScaleName]]="---", CodeAndScale[[#This Row],[ScaleName]]="???"), "",
    _xlfn.LET(
        _xlpm.idx, 2,
        _xlpm.targetChord, CodeAndScale[[#This Row],[wQuality]],
        _xlpm.def, _xlfn.XLOOKUP(TRUE, EXACT(_xlpm.targetChord, ChordDefinitions[ChordSymbol]), ChordDefinitions[GuideToneIntervals]),
        _xlpm.rawInt, IFERROR(INDEX(_xlfn.TEXTSPLIT(_xlpm.def, ", "), _xlpm.idx), ""),
        IF(_xlpm.rawInt="", "",
            _xlfn.LET(
                _xlpm.rootD, CodeAndScale[[#This Row],[wRootDeg]],
                _xlpm.rootS, CodeAndScale[[#This Row],[wRootSemi]],
                _xlpm.dDeg, _xlfn.XLOOKUP(TRUE, EXACT(_xlpm.rawInt, IntervalDefinitions[IntervalID]), IntervalDefinitions[DeltaDegree]),
                _xlpm.dSemi, _xlfn.XLOOKUP(TRUE, EXACT(_xlpm.rawInt, IntervalDefinitions[IntervalID]), IntervalDefinitions[DeltaSemitone]),
                _xlpm.tDeg, MOD(_xlpm.rootD + _xlpm.dDeg, 7),
                _xlpm.tSemi, MOD(_xlpm.rootS + _xlpm.dSemi, 12),
                _xlfn.XLOOKUP(_xlpm.tDeg &amp; "_" &amp; _xlpm.tSemi, NoteDefinitions[BaseDegree] &amp; "_" &amp; NoteDefinitions[SemitonePosition], NoteDefinitions[NoteName])
            )
        )
    )
)</f>
        <v>Ab</v>
      </c>
      <c r="R25" s="7" t="str" cm="1">
        <f t="array" ref="R25">IF(OR(CodeAndScale[[#This Row],[ScaleName]]="", CodeAndScale[[#This Row],[ScaleName]]="---", CodeAndScale[[#This Row],[ScaleName]]="???"), "",
    _xlfn.LET(
        _xlpm.idx, 1,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S25" s="7" t="str" cm="1">
        <f t="array" ref="S25">IF(OR(CodeAndScale[[#This Row],[ScaleName]]="", CodeAndScale[[#This Row],[ScaleName]]="---", CodeAndScale[[#This Row],[ScaleName]]="???"), "",
    _xlfn.LET(
        _xlpm.idx, 2,
        _xlpm.avoids, _xlfn.XLOOKUP(CodeAndScale[[#This Row],[ScaleName]], ScaleDefinitions[ScaleName], ScaleDefinitions[AvoidNoteIntervals]),
        _xlpm.targetInt, IFERROR(INDEX(_xlfn.TEXTSPLIT(_xlpm.avoids, ", "), _xlpm.idx), ""),
        IF(_xlpm.targetInt="", "",
            _xlfn.LET(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 &amp; _xlfn.XLOOKUP(_xlpm.tDeg &amp; "_" &amp; _xlpm.tSemi, NoteDefinitions[BaseDegree] &amp; "_" &amp; NoteDefinitions[SemitonePosition], NoteDefinitions[NoteName]) &amp; ")"
            )
        )
    )
)</f>
        <v/>
      </c>
      <c r="T25" s="7" t="str" cm="1">
        <f t="array" ref="T25">IF(OR(CodeAndScale[[#This Row],[ScaleName]]="", CodeAndScale[[#This Row],[ScaleName]]="---", CodeAndScale[[#This Row],[ScaleName]]="???"), "",
    _xlfn.LET(
        _xlpm.idx, 1,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Bb</v>
      </c>
      <c r="U25" s="7" t="str" cm="1">
        <f t="array" ref="U25">IF(OR(CodeAndScale[[#This Row],[ScaleName]]="", CodeAndScale[[#This Row],[ScaleName]]="---", CodeAndScale[[#This Row],[ScaleName]]="???"), "",
    _xlfn.LET(
        _xlpm.idx, 2,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Cb</v>
      </c>
      <c r="V25" s="7" t="str" cm="1">
        <f t="array" ref="V25">IF(OR(CodeAndScale[[#This Row],[ScaleName]]="", CodeAndScale[[#This Row],[ScaleName]]="---", CodeAndScale[[#This Row],[ScaleName]]="???"), "",
    _xlfn.LET(
        _xlpm.idx, 3,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Db</v>
      </c>
      <c r="W25" s="7" t="str" cm="1">
        <f t="array" ref="W25">IF(OR(CodeAndScale[[#This Row],[ScaleName]]="", CodeAndScale[[#This Row],[ScaleName]]="---", CodeAndScale[[#This Row],[ScaleName]]="???"), "",
    _xlfn.LET(
        _xlpm.idx, 4,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D'</v>
      </c>
      <c r="X25" s="7" t="str" cm="1">
        <f t="array" ref="X25">IF(OR(CodeAndScale[[#This Row],[ScaleName]]="", CodeAndScale[[#This Row],[ScaleName]]="---", CodeAndScale[[#This Row],[ScaleName]]="???"), "",
    _xlfn.LET(
        _xlpm.idx, 5,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E</v>
      </c>
      <c r="Y25" s="7" t="str" cm="1">
        <f t="array" ref="Y25">IF(OR(CodeAndScale[[#This Row],[ScaleName]]="", CodeAndScale[[#This Row],[ScaleName]]="---", CodeAndScale[[#This Row],[ScaleName]]="???"), "",
    _xlfn.LET(
        _xlpm.idx, 6,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F</v>
      </c>
      <c r="Z25" s="7" t="str" cm="1">
        <f t="array" ref="Z25">IF(OR(CodeAndScale[[#This Row],[ScaleName]]="", CodeAndScale[[#This Row],[ScaleName]]="---", CodeAndScale[[#This Row],[ScaleName]]="???"), "",
    _xlfn.LET(
        _xlpm.idx, 7,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G</v>
      </c>
      <c r="AA25" s="7" t="str" cm="1">
        <f t="array" ref="AA25">IF(OR(CodeAndScale[[#This Row],[ScaleName]]="", CodeAndScale[[#This Row],[ScaleName]]="---", CodeAndScale[[#This Row],[ScaleName]]="???"), "",
    _xlfn.LET(
        _xlpm.idx, 8,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Ab'</v>
      </c>
      <c r="AB25" s="7" t="str" cm="1">
        <f t="array" ref="AB25">IF(OR(CodeAndScale[[#This Row],[ScaleName]]="", CodeAndScale[[#This Row],[ScaleName]]="---", CodeAndScale[[#This Row],[ScaleName]]="???"), "",
    _xlfn.LET(
        _xlpm.idx, 9,
        _xlpm.sName, CodeAndScale[[#This Row],[ScaleName]],
        _xlpm.cName, CodeAndScale[[#This Row],[wQuality]],
        _xlpm.scInts, _xlfn.TEXTSPLIT(_xlfn.XLOOKUP(_xlpm.sName, ScaleDefinitions[ScaleName], ScaleDefinitions[IntervalsStructure]), ", "),
        _xlpm.targetInt, IFERROR(INDEX(_xlpm.scInts, _xlpm.idx), ""),
        IF(_xlpm.targetInt="", "",
            _xlfn.LET(
                _xlpm.guideInts, _xlfn.XLOOKUP(TRUE, EXACT(_xlpm.cName, ChordDefinitions[ChordSymbol]), ChordDefinitions[GuideToneIntervals]),
                _xlpm.avoidInts, _xlfn.XLOOKUP(_xlpm.sName, ScaleDefinitions[ScaleName], ScaleDefinitions[AvoidNoteIntervals]),
                _xlpm.rootD, CodeAndScale[[#This Row],[wRootDeg]],
                _xlpm.rootS, CodeAndScale[[#This Row],[wRootSemi]],
                _xlpm.dDeg, _xlfn.XLOOKUP(TRUE, EXACT(_xlpm.targetInt, IntervalDefinitions[IntervalID]), IntervalDefinitions[DeltaDegree]),
                _xlpm.dSemi, _xlfn.XLOOKUP(TRUE, EXACT(_xlpm.targetInt, IntervalDefinitions[IntervalID]), IntervalDefinitions[DeltaSemitone]),
                _xlpm.tDeg, MOD(_xlpm.rootD + _xlpm.dDeg, 7),
                _xlpm.tSemi, MOD(_xlpm.rootS + _xlpm.dSemi, 12),
                _xlpm.note, _xlfn.XLOOKUP(_xlpm.tDeg &amp; "_" &amp; _xlpm.tSemi, NoteDefinitions[BaseDegree] &amp; "_" &amp; NoteDefinitions[SemitonePosition], NoteDefinitions[NoteName]),
                _xlpm.isGuide, ISNUMBER(FIND(_xlpm.targetInt, _xlpm.guideInts)),
                _xlpm.isAvoid, ISNUMBER(FIND(_xlpm.targetInt, _xlpm.avoidInts)),
                IF(_xlpm.isGuide, "" &amp; _xlpm.note &amp; "'", IF(_xlpm.isAvoid, "(" &amp; _xlpm.note &amp; ")", _xlpm.note))
            )
        )
    )
)</f>
        <v/>
      </c>
      <c r="AC25" s="2" t="str" cm="1">
        <f t="array" ref="AC25">IF(OR(CodeAndScale[[#This Row],[ScaleName]]="", CodeAndScale[[#This Row],[ScaleName]]="---", CodeAndScale[[#This Row],[ScaleName]]="???"), "",
    _xlfn.LET(
        _xlpm.idx, 1,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D25" s="2" t="str" cm="1">
        <f t="array" ref="AD25">IF(OR(CodeAndScale[[#This Row],[ScaleName]]="", CodeAndScale[[#This Row],[ScaleName]]="---", CodeAndScale[[#This Row],[ScaleName]]="???"), "",
    _xlfn.LET(
        _xlpm.idx, 2,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E25" s="2" t="str" cm="1">
        <f t="array" ref="AE25">IF(OR(CodeAndScale[[#This Row],[ScaleName]]="", CodeAndScale[[#This Row],[ScaleName]]="---", CodeAndScale[[#This Row],[ScaleName]]="???"), "",
    _xlfn.LET(
        _xlpm.idx, 3,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F25" s="2" t="str" cm="1">
        <f t="array" ref="AF25">IF(OR(CodeAndScale[[#This Row],[ScaleName]]="", CodeAndScale[[#This Row],[ScaleName]]="---", CodeAndScale[[#This Row],[ScaleName]]="???"), "",
    _xlfn.LET(
        _xlpm.idx, 4,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G25" s="2" t="str" cm="1">
        <f t="array" ref="AG25">IF(OR(CodeAndScale[[#This Row],[ScaleName]]="", CodeAndScale[[#This Row],[ScaleName]]="---", CodeAndScale[[#This Row],[ScaleName]]="???"), "",
    _xlfn.LET(
        _xlpm.idx, 5,
        _xlpm.kType, IF(ISNUMBER(SEARCH("m", CodeAndScale[[#This Row],[KeyIn]])), "Minor", "Major"),
        _xlpm.list, _xlfn._xlws.FILTER(ScaleAssignmentRules[ScaleName],
            (ScaleAssignmentRules[KeyType]=_xlpm.kType) *
            (ScaleAssignmentRules[DegreeIntervalID]=CodeAndScale[[#This Row],[wKeyRelDeg]]) *
            EXACT(ScaleAssignmentRules[ChordSymbol], CodeAndScale[[#This Row],[wQuality]]) *
            (ScaleAssignmentRules[UsageType]="Alt"),
            ""
        ),
        IFERROR(INDEX(_xlpm.list, _xlpm.idx), "")
    )
)</f>
        <v/>
      </c>
      <c r="AH25" s="2" t="str">
        <f>IF(OR(CodeAndScale[[#This Row],[oChord]]="", CodeAndScale[[#This Row],[oChord]]="---"), CodeAndScale[[#This Row],[oChord]],
    _xlfn.LET(
        _xlpm.txt, CodeAndScale[[#This Row],[oChord]] &amp; "   ",
        _xlpm.isDouble, OR(MID(_xlpm.txt, 2, 2)="##", MID(_xlpm.txt, 2, 2)="bb"),
        _xlpm.isSingle, OR(MID(_xlpm.txt, 2, 1)="#", MID(_xlpm.txt, 2, 1)="b"),
        _xlpm.len, IF(_xlpm.isDouble, 3, IF(_xlpm.isSingle, 2, 1)),
        LEFT(_xlpm.txt, _xlpm.len)
    )
)</f>
        <v>Bb</v>
      </c>
      <c r="AI25" s="2" t="str">
        <f>IF(OR(CodeAndScale[[#This Row],[oChord]]="", CodeAndScale[[#This Row],[oChord]]="---"), CodeAndScale[[#This Row],[oChord]],
    SUBSTITUTE(CodeAndScale[[#This Row],[oChord]], CodeAndScale[[#This Row],[wRoot]], "", 1)
)</f>
        <v>7b9</v>
      </c>
      <c r="AJ25" s="2">
        <f>IF(OR(CodeAndScale[[#This Row],[oChord]]="", CodeAndScale[[#This Row],[oChord]]="---"), 0,
    _xlfn.XLOOKUP(CodeAndScale[[#This Row],[wRoot]], NoteDefinitions[NoteName], NoteDefinitions[BaseDegree], 0)
)</f>
        <v>6</v>
      </c>
      <c r="AK25" s="2">
        <f>IF(OR(CodeAndScale[[#This Row],[oChord]]="", CodeAndScale[[#This Row],[oChord]]="---"), 0,
    _xlfn.XLOOKUP(CodeAndScale[[#This Row],[wRoot]], NoteDefinitions[NoteName], NoteDefinitions[SemitonePosition], 0)
)</f>
        <v>10</v>
      </c>
      <c r="AL25" s="2" t="str" cm="1">
        <f t="array" ref="AL25">IF(OR(CodeAndScale[[#This Row],[oChord]]="", CodeAndScale[[#This Row],[oChord]]="---"), CodeAndScale[[#This Row],[oChord]],
    _xlfn.LET(
        _xlpm.k, CodeAndScale[[#This Row],[KeyIn]],
        _xlpm.kTxt, _xlpm.k &amp; "   ",
        _xlpm.kIsDouble, OR(MID(_xlpm.kTxt, 2, 2)="##", MID(_xlpm.kTxt, 2, 2)="bb"),
        _xlpm.kIsSingle, OR(MID(_xlpm.kTxt, 2, 1)="#", MID(_xlpm.kTxt, 2, 1)="b"),
        _xlpm.kLen, IF(_xlpm.kIsDouble, 3, IF(_xlpm.kIsSingle, 2, 1)),
        _xlpm.kRoot, LEFT(_xlpm.kTxt, _xlpm.kLen),
        _xlpm.kDeg, _xlfn.XLOOKUP(_xlpm.kRoot, NoteDefinitions[NoteName], NoteDefinitions[BaseDegree]),
        _xlpm.kSemi, _xlfn.XLOOKUP(_xlpm.kRoot, NoteDefinitions[NoteName], NoteDefinitions[SemitonePosition]),
        _xlpm.deltaDeg, MOD(CodeAndScale[[#This Row],[wRootDeg]] - _xlpm.kDeg, 7),
        _xlpm.deltaSemi, MOD(CodeAndScale[[#This Row],[wRootSemi]] - _xlpm.kSemi, 12),
        _xlfn.XLOOKUP(_xlpm.deltaDeg &amp; "_" &amp; _xlpm.deltaSemi, IntervalDefinitions[DeltaDegree] &amp; "_" &amp; IntervalDefinitions[DeltaSemitone], IntervalDefinitions[IntervalID], "??")
    )
)</f>
        <v>P5</v>
      </c>
    </row>
    <row r="28" spans="1:38" ht="17.45" customHeight="1" x14ac:dyDescent="0.2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row>
    <row r="37" spans="1:2" ht="17.45" customHeight="1" x14ac:dyDescent="0.25">
      <c r="A37" s="15"/>
      <c r="B37" s="15"/>
    </row>
    <row r="38" spans="1:2" ht="17.45" customHeight="1" x14ac:dyDescent="0.25">
      <c r="A38" s="15"/>
      <c r="B38" s="15"/>
    </row>
    <row r="39" spans="1:2" ht="17.45" customHeight="1" x14ac:dyDescent="0.25">
      <c r="A39" s="15"/>
      <c r="B39" s="15"/>
    </row>
  </sheetData>
  <sheetProtection formatCells="0" formatColumns="0" formatRows="0" insertRows="0" deleteRows="0" sort="0" autoFilter="0"/>
  <phoneticPr fontId="1"/>
  <pageMargins left="0.7" right="0.7" top="0.75" bottom="0.75" header="0.3" footer="0.3"/>
  <pageSetup paperSize="9" orientation="portrait" horizontalDpi="4294967293" verticalDpi="0" r:id="rId1"/>
  <ignoredErrors>
    <ignoredError sqref="R23:S25 G23:O25 AH23:AL25"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EB46-1B8B-4AC5-B113-4BFF86BF3881}">
  <dimension ref="A1"/>
  <sheetViews>
    <sheetView zoomScale="85" zoomScaleNormal="85" workbookViewId="0">
      <selection activeCell="A46" sqref="A1:AE46"/>
    </sheetView>
  </sheetViews>
  <sheetFormatPr defaultRowHeight="18.75" x14ac:dyDescent="0.4"/>
  <sheetData>
    <row r="1" spans="1:1" ht="21.75" x14ac:dyDescent="0.4">
      <c r="A1" s="42" t="s">
        <v>371</v>
      </c>
    </row>
  </sheetData>
  <phoneticPr fontId="1"/>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0671-07B6-42AF-BF10-2C1A1C6F52B0}">
  <dimension ref="A1:JD23"/>
  <sheetViews>
    <sheetView zoomScale="70" zoomScaleNormal="70" workbookViewId="0">
      <selection activeCell="P25" sqref="P25"/>
    </sheetView>
  </sheetViews>
  <sheetFormatPr defaultRowHeight="18.75" outlineLevelCol="1" x14ac:dyDescent="0.4"/>
  <cols>
    <col min="1" max="1" width="5.25" customWidth="1"/>
    <col min="2" max="8" width="15.5" hidden="1" customWidth="1" outlineLevel="1"/>
    <col min="9" max="10" width="20.5" hidden="1" customWidth="1" outlineLevel="1"/>
    <col min="11" max="11" width="40.5" customWidth="1" collapsed="1"/>
    <col min="12" max="12" width="4.875" customWidth="1"/>
    <col min="13" max="264" width="1" customWidth="1"/>
    <col min="265" max="265" width="4.875" customWidth="1"/>
  </cols>
  <sheetData>
    <row r="1" spans="1:264" ht="46.5" thickBot="1" x14ac:dyDescent="0.7">
      <c r="A1" s="41" t="s">
        <v>335</v>
      </c>
      <c r="B1" s="2"/>
      <c r="C1" s="2"/>
      <c r="D1" s="2"/>
      <c r="E1" s="2"/>
      <c r="F1" s="2"/>
      <c r="G1" s="2"/>
      <c r="H1" s="2"/>
      <c r="I1" s="2"/>
      <c r="J1" s="2"/>
      <c r="M1" s="34" t="s">
        <v>310</v>
      </c>
      <c r="N1" s="34"/>
      <c r="O1" s="34"/>
      <c r="P1" s="34"/>
      <c r="Q1" s="34"/>
      <c r="R1" s="34"/>
      <c r="S1" s="34"/>
      <c r="T1" s="35"/>
      <c r="U1" s="35"/>
      <c r="V1" s="35"/>
      <c r="W1" s="35"/>
      <c r="X1" s="35"/>
      <c r="Y1" s="35"/>
      <c r="Z1" s="35"/>
      <c r="AA1" s="34" t="s">
        <v>324</v>
      </c>
      <c r="AB1" s="34"/>
      <c r="AC1" s="34"/>
      <c r="AD1" s="34"/>
      <c r="AE1" s="34"/>
      <c r="AF1" s="34"/>
      <c r="AG1" s="34"/>
      <c r="AH1" s="35"/>
      <c r="AI1" s="35"/>
      <c r="AJ1" s="35"/>
      <c r="AK1" s="35"/>
      <c r="AL1" s="35"/>
      <c r="AM1" s="35"/>
      <c r="AN1" s="35"/>
      <c r="AO1" s="34" t="s">
        <v>329</v>
      </c>
      <c r="AP1" s="34"/>
      <c r="AQ1" s="34"/>
      <c r="AR1" s="34"/>
      <c r="AS1" s="34"/>
      <c r="AT1" s="34"/>
      <c r="AU1" s="34"/>
      <c r="AV1" s="35"/>
      <c r="AW1" s="34" t="s">
        <v>325</v>
      </c>
      <c r="AX1" s="34"/>
      <c r="AY1" s="34"/>
      <c r="AZ1" s="34"/>
      <c r="BA1" s="34"/>
      <c r="BB1" s="34"/>
      <c r="BC1" s="34"/>
      <c r="BD1" s="35"/>
      <c r="BE1" s="35"/>
      <c r="BF1" s="35"/>
      <c r="BG1" s="35"/>
      <c r="BH1" s="35"/>
      <c r="BI1" s="35"/>
      <c r="BJ1" s="34" t="s">
        <v>326</v>
      </c>
      <c r="BK1" s="34"/>
      <c r="BL1" s="34"/>
      <c r="BM1" s="34"/>
      <c r="BN1" s="34"/>
      <c r="BO1" s="34"/>
      <c r="BP1" s="34"/>
      <c r="BQ1" s="35"/>
      <c r="BR1" s="35"/>
      <c r="BS1" s="35"/>
      <c r="BT1" s="35"/>
      <c r="BU1" s="35"/>
      <c r="BV1" s="35"/>
      <c r="BW1" s="35"/>
      <c r="BX1" s="34" t="s">
        <v>332</v>
      </c>
      <c r="BY1" s="34"/>
      <c r="BZ1" s="34"/>
      <c r="CA1" s="34"/>
      <c r="CB1" s="34"/>
      <c r="CC1" s="34"/>
      <c r="CD1" s="34"/>
      <c r="CE1" s="35"/>
      <c r="CF1" s="35"/>
      <c r="CG1" s="35"/>
      <c r="CH1" s="35"/>
      <c r="CI1" s="35"/>
      <c r="CJ1" s="35"/>
      <c r="CK1" s="35"/>
      <c r="CL1" s="34" t="s">
        <v>323</v>
      </c>
      <c r="CM1" s="34"/>
      <c r="CN1" s="34"/>
      <c r="CO1" s="34"/>
      <c r="CP1" s="34"/>
      <c r="CQ1" s="34"/>
      <c r="CR1" s="34"/>
      <c r="CS1" s="34" t="s">
        <v>310</v>
      </c>
      <c r="CT1" s="34"/>
      <c r="CU1" s="34"/>
      <c r="CV1" s="34"/>
      <c r="CW1" s="34"/>
      <c r="CX1" s="34"/>
      <c r="CY1" s="34"/>
      <c r="CZ1" s="35"/>
      <c r="DA1" s="35"/>
      <c r="DB1" s="35"/>
      <c r="DC1" s="35"/>
      <c r="DD1" s="35"/>
      <c r="DE1" s="35"/>
      <c r="DF1" s="35"/>
      <c r="DG1" s="34" t="s">
        <v>324</v>
      </c>
      <c r="DH1" s="34"/>
      <c r="DI1" s="34"/>
      <c r="DJ1" s="34"/>
      <c r="DK1" s="34"/>
      <c r="DL1" s="34"/>
      <c r="DM1" s="34"/>
      <c r="DN1" s="35"/>
      <c r="DO1" s="35"/>
      <c r="DP1" s="35"/>
      <c r="DQ1" s="35"/>
      <c r="DR1" s="35"/>
      <c r="DS1" s="35"/>
      <c r="DT1" s="35"/>
      <c r="DU1" s="34" t="s">
        <v>329</v>
      </c>
      <c r="DV1" s="34"/>
      <c r="DW1" s="34"/>
      <c r="DX1" s="34"/>
      <c r="DY1" s="34"/>
      <c r="DZ1" s="34"/>
      <c r="EA1" s="34"/>
      <c r="EB1" s="35"/>
      <c r="EC1" s="34" t="s">
        <v>325</v>
      </c>
      <c r="ED1" s="34"/>
      <c r="EE1" s="34"/>
      <c r="EF1" s="34"/>
      <c r="EG1" s="34"/>
      <c r="EH1" s="34"/>
      <c r="EI1" s="34"/>
      <c r="EJ1" s="35"/>
      <c r="EK1" s="35"/>
      <c r="EL1" s="35"/>
      <c r="EM1" s="35"/>
      <c r="EN1" s="35"/>
      <c r="EO1" s="35"/>
      <c r="EP1" s="34" t="s">
        <v>326</v>
      </c>
      <c r="EQ1" s="34"/>
      <c r="ER1" s="34"/>
      <c r="ES1" s="34"/>
      <c r="ET1" s="34"/>
      <c r="EU1" s="34"/>
      <c r="EV1" s="34"/>
      <c r="EW1" s="35"/>
      <c r="EX1" s="35"/>
      <c r="EY1" s="35"/>
      <c r="EZ1" s="35"/>
      <c r="FA1" s="35"/>
      <c r="FB1" s="35"/>
      <c r="FC1" s="35"/>
      <c r="FD1" s="34" t="s">
        <v>332</v>
      </c>
      <c r="FE1" s="34"/>
      <c r="FF1" s="34"/>
      <c r="FG1" s="34"/>
      <c r="FH1" s="34"/>
      <c r="FI1" s="34"/>
      <c r="FJ1" s="34"/>
      <c r="FK1" s="35"/>
      <c r="FL1" s="35"/>
      <c r="FM1" s="35"/>
      <c r="FN1" s="35"/>
      <c r="FO1" s="35"/>
      <c r="FP1" s="35"/>
      <c r="FQ1" s="35"/>
      <c r="FR1" s="34" t="s">
        <v>323</v>
      </c>
      <c r="FS1" s="34"/>
      <c r="FT1" s="34"/>
      <c r="FU1" s="34"/>
      <c r="FV1" s="34"/>
      <c r="FW1" s="34"/>
      <c r="FX1" s="34"/>
      <c r="FY1" s="34" t="s">
        <v>310</v>
      </c>
      <c r="FZ1" s="34"/>
      <c r="GA1" s="34"/>
      <c r="GB1" s="34"/>
      <c r="GC1" s="34"/>
      <c r="GD1" s="34"/>
      <c r="GE1" s="34"/>
      <c r="GF1" s="35"/>
      <c r="GG1" s="35"/>
      <c r="GH1" s="35"/>
      <c r="GI1" s="35"/>
      <c r="GJ1" s="35"/>
      <c r="GK1" s="35"/>
      <c r="GL1" s="35"/>
      <c r="GM1" s="34" t="s">
        <v>324</v>
      </c>
      <c r="GN1" s="34"/>
      <c r="GO1" s="34"/>
      <c r="GP1" s="34"/>
      <c r="GQ1" s="34"/>
      <c r="GR1" s="34"/>
      <c r="GS1" s="34"/>
      <c r="GT1" s="35"/>
      <c r="GU1" s="35"/>
      <c r="GV1" s="35"/>
      <c r="GW1" s="35"/>
      <c r="GX1" s="35"/>
      <c r="GY1" s="35"/>
      <c r="GZ1" s="35"/>
      <c r="HA1" s="34" t="s">
        <v>329</v>
      </c>
      <c r="HB1" s="34"/>
      <c r="HC1" s="34"/>
      <c r="HD1" s="34"/>
      <c r="HE1" s="34"/>
      <c r="HF1" s="34"/>
      <c r="HG1" s="34"/>
      <c r="HH1" s="35"/>
      <c r="HI1" s="34" t="s">
        <v>325</v>
      </c>
      <c r="HJ1" s="34"/>
      <c r="HK1" s="34"/>
      <c r="HL1" s="34"/>
      <c r="HM1" s="34"/>
      <c r="HN1" s="34"/>
      <c r="HO1" s="34"/>
      <c r="HP1" s="35"/>
      <c r="HQ1" s="35"/>
      <c r="HR1" s="35"/>
      <c r="HS1" s="35"/>
      <c r="HT1" s="35"/>
      <c r="HU1" s="35"/>
      <c r="HV1" s="34" t="s">
        <v>326</v>
      </c>
      <c r="HW1" s="34"/>
      <c r="HX1" s="34"/>
      <c r="HY1" s="34"/>
      <c r="HZ1" s="34"/>
      <c r="IA1" s="34"/>
      <c r="IB1" s="34"/>
      <c r="IC1" s="35"/>
      <c r="ID1" s="35"/>
      <c r="IE1" s="35"/>
      <c r="IF1" s="35"/>
      <c r="IG1" s="35"/>
      <c r="IH1" s="35"/>
      <c r="II1" s="35"/>
      <c r="IJ1" s="34" t="s">
        <v>332</v>
      </c>
      <c r="IK1" s="34"/>
      <c r="IL1" s="34"/>
      <c r="IM1" s="34"/>
      <c r="IN1" s="34"/>
      <c r="IO1" s="34"/>
      <c r="IP1" s="34"/>
      <c r="IQ1" s="35"/>
      <c r="IR1" s="35"/>
      <c r="IS1" s="35"/>
      <c r="IT1" s="35"/>
      <c r="IU1" s="35"/>
      <c r="IV1" s="35"/>
      <c r="IW1" s="35"/>
      <c r="IX1" s="34" t="s">
        <v>323</v>
      </c>
      <c r="IY1" s="34"/>
      <c r="IZ1" s="34"/>
      <c r="JA1" s="34"/>
      <c r="JB1" s="34"/>
      <c r="JC1" s="34"/>
      <c r="JD1" s="34"/>
    </row>
    <row r="2" spans="1:264" ht="19.5" thickTop="1" x14ac:dyDescent="0.4">
      <c r="A2" s="2"/>
      <c r="B2" s="2"/>
      <c r="C2" s="2"/>
      <c r="D2" s="2"/>
      <c r="E2" s="2"/>
      <c r="F2" s="2"/>
      <c r="G2" s="2"/>
      <c r="H2" s="2"/>
      <c r="I2" s="2"/>
      <c r="J2" s="2"/>
      <c r="M2" s="30">
        <f t="shared" ref="M2:S11" ca="1" si="0">$I$4</f>
        <v>0</v>
      </c>
      <c r="N2" s="31">
        <f t="shared" ca="1" si="0"/>
        <v>0</v>
      </c>
      <c r="O2" s="31">
        <f t="shared" ca="1" si="0"/>
        <v>0</v>
      </c>
      <c r="P2" s="31">
        <f t="shared" ca="1" si="0"/>
        <v>0</v>
      </c>
      <c r="Q2" s="31">
        <f t="shared" ca="1" si="0"/>
        <v>0</v>
      </c>
      <c r="R2" s="31">
        <f t="shared" ca="1" si="0"/>
        <v>0</v>
      </c>
      <c r="S2" s="29">
        <f t="shared" ca="1" si="0"/>
        <v>0</v>
      </c>
      <c r="T2" s="20">
        <f t="shared" ref="T2:Z9" ca="1" si="1">$I$5</f>
        <v>0</v>
      </c>
      <c r="U2" s="21">
        <f t="shared" ca="1" si="1"/>
        <v>0</v>
      </c>
      <c r="V2" s="21">
        <f t="shared" ca="1" si="1"/>
        <v>0</v>
      </c>
      <c r="W2" s="21">
        <f t="shared" ca="1" si="1"/>
        <v>0</v>
      </c>
      <c r="X2" s="21">
        <f t="shared" ca="1" si="1"/>
        <v>0</v>
      </c>
      <c r="Y2" s="21">
        <f t="shared" ca="1" si="1"/>
        <v>0</v>
      </c>
      <c r="Z2" s="22">
        <f t="shared" ca="1" si="1"/>
        <v>0</v>
      </c>
      <c r="AA2" s="31">
        <f t="shared" ref="AA2:AG11" ca="1" si="2">$I$6</f>
        <v>0</v>
      </c>
      <c r="AB2" s="31">
        <f t="shared" ca="1" si="2"/>
        <v>0</v>
      </c>
      <c r="AC2" s="31">
        <f t="shared" ca="1" si="2"/>
        <v>0</v>
      </c>
      <c r="AD2" s="31">
        <f t="shared" ca="1" si="2"/>
        <v>0</v>
      </c>
      <c r="AE2" s="31">
        <f t="shared" ca="1" si="2"/>
        <v>0</v>
      </c>
      <c r="AF2" s="31">
        <f t="shared" ca="1" si="2"/>
        <v>0</v>
      </c>
      <c r="AG2" s="29">
        <f t="shared" ca="1" si="2"/>
        <v>0</v>
      </c>
      <c r="AH2" s="20">
        <f t="shared" ref="AH2:AN9" ca="1" si="3">$I$7</f>
        <v>2</v>
      </c>
      <c r="AI2" s="21">
        <f t="shared" ca="1" si="3"/>
        <v>2</v>
      </c>
      <c r="AJ2" s="21">
        <f t="shared" ca="1" si="3"/>
        <v>2</v>
      </c>
      <c r="AK2" s="21">
        <f t="shared" ca="1" si="3"/>
        <v>2</v>
      </c>
      <c r="AL2" s="21">
        <f t="shared" ca="1" si="3"/>
        <v>2</v>
      </c>
      <c r="AM2" s="21">
        <f t="shared" ca="1" si="3"/>
        <v>2</v>
      </c>
      <c r="AN2" s="22">
        <f t="shared" ca="1" si="3"/>
        <v>2</v>
      </c>
      <c r="AO2" s="30">
        <f t="shared" ref="AO2:AV11" ca="1" si="4">$I$8</f>
        <v>0</v>
      </c>
      <c r="AP2" s="31">
        <f t="shared" ca="1" si="4"/>
        <v>0</v>
      </c>
      <c r="AQ2" s="31">
        <f t="shared" ca="1" si="4"/>
        <v>0</v>
      </c>
      <c r="AR2" s="31">
        <f t="shared" ca="1" si="4"/>
        <v>0</v>
      </c>
      <c r="AS2" s="31">
        <f t="shared" ca="1" si="4"/>
        <v>0</v>
      </c>
      <c r="AT2" s="31">
        <f t="shared" ca="1" si="4"/>
        <v>0</v>
      </c>
      <c r="AU2" s="31">
        <f t="shared" ca="1" si="4"/>
        <v>0</v>
      </c>
      <c r="AV2" s="29">
        <f t="shared" ca="1" si="4"/>
        <v>0</v>
      </c>
      <c r="AW2" s="30">
        <f t="shared" ref="AW2:BB11" ca="1" si="5">$I$9</f>
        <v>2</v>
      </c>
      <c r="AX2" s="31">
        <f t="shared" ca="1" si="5"/>
        <v>2</v>
      </c>
      <c r="AY2" s="31">
        <f t="shared" ca="1" si="5"/>
        <v>2</v>
      </c>
      <c r="AZ2" s="31">
        <f t="shared" ca="1" si="5"/>
        <v>2</v>
      </c>
      <c r="BA2" s="31">
        <f t="shared" ca="1" si="5"/>
        <v>2</v>
      </c>
      <c r="BB2" s="31">
        <f t="shared" ca="1" si="5"/>
        <v>2</v>
      </c>
      <c r="BC2" s="20">
        <f t="shared" ref="BC2:BI9" ca="1" si="6">$I$10</f>
        <v>0</v>
      </c>
      <c r="BD2" s="21">
        <f t="shared" ca="1" si="6"/>
        <v>0</v>
      </c>
      <c r="BE2" s="21">
        <f t="shared" ca="1" si="6"/>
        <v>0</v>
      </c>
      <c r="BF2" s="21">
        <f t="shared" ca="1" si="6"/>
        <v>0</v>
      </c>
      <c r="BG2" s="21">
        <f t="shared" ca="1" si="6"/>
        <v>0</v>
      </c>
      <c r="BH2" s="21">
        <f t="shared" ca="1" si="6"/>
        <v>0</v>
      </c>
      <c r="BI2" s="22">
        <f t="shared" ca="1" si="6"/>
        <v>0</v>
      </c>
      <c r="BJ2" s="31">
        <f t="shared" ref="BJ2:BP11" ca="1" si="7">$I$11</f>
        <v>0</v>
      </c>
      <c r="BK2" s="31">
        <f t="shared" ca="1" si="7"/>
        <v>0</v>
      </c>
      <c r="BL2" s="31">
        <f t="shared" ca="1" si="7"/>
        <v>0</v>
      </c>
      <c r="BM2" s="31">
        <f t="shared" ca="1" si="7"/>
        <v>0</v>
      </c>
      <c r="BN2" s="31">
        <f t="shared" ca="1" si="7"/>
        <v>0</v>
      </c>
      <c r="BO2" s="31">
        <f t="shared" ca="1" si="7"/>
        <v>0</v>
      </c>
      <c r="BP2" s="31">
        <f t="shared" ca="1" si="7"/>
        <v>0</v>
      </c>
      <c r="BQ2" s="20">
        <f t="shared" ref="BQ2:BW9" ca="1" si="8">$I$12</f>
        <v>2</v>
      </c>
      <c r="BR2" s="21">
        <f t="shared" ca="1" si="8"/>
        <v>2</v>
      </c>
      <c r="BS2" s="21">
        <f t="shared" ca="1" si="8"/>
        <v>2</v>
      </c>
      <c r="BT2" s="21">
        <f t="shared" ca="1" si="8"/>
        <v>2</v>
      </c>
      <c r="BU2" s="21">
        <f t="shared" ca="1" si="8"/>
        <v>2</v>
      </c>
      <c r="BV2" s="21">
        <f t="shared" ca="1" si="8"/>
        <v>2</v>
      </c>
      <c r="BW2" s="22">
        <f t="shared" ca="1" si="8"/>
        <v>2</v>
      </c>
      <c r="BX2" s="31">
        <f t="shared" ref="BX2:CD11" ca="1" si="9">$I$13</f>
        <v>0</v>
      </c>
      <c r="BY2" s="31">
        <f t="shared" ca="1" si="9"/>
        <v>0</v>
      </c>
      <c r="BZ2" s="31">
        <f t="shared" ca="1" si="9"/>
        <v>0</v>
      </c>
      <c r="CA2" s="31">
        <f t="shared" ca="1" si="9"/>
        <v>0</v>
      </c>
      <c r="CB2" s="31">
        <f t="shared" ca="1" si="9"/>
        <v>0</v>
      </c>
      <c r="CC2" s="31">
        <f t="shared" ca="1" si="9"/>
        <v>0</v>
      </c>
      <c r="CD2" s="31">
        <f t="shared" ca="1" si="9"/>
        <v>0</v>
      </c>
      <c r="CE2" s="20">
        <f t="shared" ref="CE2:CK9" ca="1" si="10">$I$14</f>
        <v>0</v>
      </c>
      <c r="CF2" s="21">
        <f t="shared" ca="1" si="10"/>
        <v>0</v>
      </c>
      <c r="CG2" s="21">
        <f t="shared" ca="1" si="10"/>
        <v>0</v>
      </c>
      <c r="CH2" s="21">
        <f t="shared" ca="1" si="10"/>
        <v>0</v>
      </c>
      <c r="CI2" s="21">
        <f t="shared" ca="1" si="10"/>
        <v>0</v>
      </c>
      <c r="CJ2" s="21">
        <f t="shared" ca="1" si="10"/>
        <v>0</v>
      </c>
      <c r="CK2" s="22">
        <f t="shared" ca="1" si="10"/>
        <v>0</v>
      </c>
      <c r="CL2" s="31">
        <f t="shared" ref="CL2:CR11" ca="1" si="11">$I$15</f>
        <v>2</v>
      </c>
      <c r="CM2" s="31">
        <f t="shared" ca="1" si="11"/>
        <v>2</v>
      </c>
      <c r="CN2" s="31">
        <f t="shared" ca="1" si="11"/>
        <v>2</v>
      </c>
      <c r="CO2" s="31">
        <f t="shared" ca="1" si="11"/>
        <v>2</v>
      </c>
      <c r="CP2" s="31">
        <f t="shared" ca="1" si="11"/>
        <v>2</v>
      </c>
      <c r="CQ2" s="31">
        <f t="shared" ca="1" si="11"/>
        <v>2</v>
      </c>
      <c r="CR2" s="29">
        <f t="shared" ca="1" si="11"/>
        <v>2</v>
      </c>
      <c r="CS2" s="30">
        <f t="shared" ref="CS2:CY11" ca="1" si="12">$I$4</f>
        <v>0</v>
      </c>
      <c r="CT2" s="31">
        <f t="shared" ca="1" si="12"/>
        <v>0</v>
      </c>
      <c r="CU2" s="31">
        <f t="shared" ca="1" si="12"/>
        <v>0</v>
      </c>
      <c r="CV2" s="31">
        <f t="shared" ca="1" si="12"/>
        <v>0</v>
      </c>
      <c r="CW2" s="31">
        <f t="shared" ca="1" si="12"/>
        <v>0</v>
      </c>
      <c r="CX2" s="31">
        <f t="shared" ca="1" si="12"/>
        <v>0</v>
      </c>
      <c r="CY2" s="31">
        <f t="shared" ca="1" si="12"/>
        <v>0</v>
      </c>
      <c r="CZ2" s="20">
        <f t="shared" ref="CZ2:DF9" ca="1" si="13">$I$5</f>
        <v>0</v>
      </c>
      <c r="DA2" s="21">
        <f t="shared" ca="1" si="13"/>
        <v>0</v>
      </c>
      <c r="DB2" s="21">
        <f t="shared" ca="1" si="13"/>
        <v>0</v>
      </c>
      <c r="DC2" s="21">
        <f t="shared" ca="1" si="13"/>
        <v>0</v>
      </c>
      <c r="DD2" s="21">
        <f t="shared" ca="1" si="13"/>
        <v>0</v>
      </c>
      <c r="DE2" s="21">
        <f t="shared" ca="1" si="13"/>
        <v>0</v>
      </c>
      <c r="DF2" s="22">
        <f t="shared" ca="1" si="13"/>
        <v>0</v>
      </c>
      <c r="DG2" s="31">
        <f t="shared" ref="DG2:DM11" ca="1" si="14">$I$6</f>
        <v>0</v>
      </c>
      <c r="DH2" s="31">
        <f t="shared" ca="1" si="14"/>
        <v>0</v>
      </c>
      <c r="DI2" s="31">
        <f t="shared" ca="1" si="14"/>
        <v>0</v>
      </c>
      <c r="DJ2" s="31">
        <f t="shared" ca="1" si="14"/>
        <v>0</v>
      </c>
      <c r="DK2" s="31">
        <f t="shared" ca="1" si="14"/>
        <v>0</v>
      </c>
      <c r="DL2" s="31">
        <f t="shared" ca="1" si="14"/>
        <v>0</v>
      </c>
      <c r="DM2" s="31">
        <f t="shared" ca="1" si="14"/>
        <v>0</v>
      </c>
      <c r="DN2" s="20">
        <f t="shared" ref="DN2:DT9" ca="1" si="15">$I$7</f>
        <v>2</v>
      </c>
      <c r="DO2" s="21">
        <f t="shared" ca="1" si="15"/>
        <v>2</v>
      </c>
      <c r="DP2" s="21">
        <f t="shared" ca="1" si="15"/>
        <v>2</v>
      </c>
      <c r="DQ2" s="21">
        <f t="shared" ca="1" si="15"/>
        <v>2</v>
      </c>
      <c r="DR2" s="21">
        <f t="shared" ca="1" si="15"/>
        <v>2</v>
      </c>
      <c r="DS2" s="21">
        <f t="shared" ca="1" si="15"/>
        <v>2</v>
      </c>
      <c r="DT2" s="22">
        <f t="shared" ca="1" si="15"/>
        <v>2</v>
      </c>
      <c r="DU2" s="31">
        <f t="shared" ref="DU2:EB11" ca="1" si="16">$I$8</f>
        <v>0</v>
      </c>
      <c r="DV2" s="31">
        <f t="shared" ca="1" si="16"/>
        <v>0</v>
      </c>
      <c r="DW2" s="31">
        <f t="shared" ca="1" si="16"/>
        <v>0</v>
      </c>
      <c r="DX2" s="31">
        <f t="shared" ca="1" si="16"/>
        <v>0</v>
      </c>
      <c r="DY2" s="31">
        <f t="shared" ca="1" si="16"/>
        <v>0</v>
      </c>
      <c r="DZ2" s="31">
        <f t="shared" ca="1" si="16"/>
        <v>0</v>
      </c>
      <c r="EA2" s="31">
        <f t="shared" ca="1" si="16"/>
        <v>0</v>
      </c>
      <c r="EB2" s="29">
        <f t="shared" ca="1" si="16"/>
        <v>0</v>
      </c>
      <c r="EC2" s="30">
        <f t="shared" ref="EC2:EH11" ca="1" si="17">$I$9</f>
        <v>2</v>
      </c>
      <c r="ED2" s="31">
        <f t="shared" ca="1" si="17"/>
        <v>2</v>
      </c>
      <c r="EE2" s="31">
        <f t="shared" ca="1" si="17"/>
        <v>2</v>
      </c>
      <c r="EF2" s="31">
        <f t="shared" ca="1" si="17"/>
        <v>2</v>
      </c>
      <c r="EG2" s="31">
        <f t="shared" ca="1" si="17"/>
        <v>2</v>
      </c>
      <c r="EH2" s="31">
        <f t="shared" ca="1" si="17"/>
        <v>2</v>
      </c>
      <c r="EI2" s="20">
        <f t="shared" ref="EI2:EO9" ca="1" si="18">$I$10</f>
        <v>0</v>
      </c>
      <c r="EJ2" s="21">
        <f t="shared" ca="1" si="18"/>
        <v>0</v>
      </c>
      <c r="EK2" s="21">
        <f t="shared" ca="1" si="18"/>
        <v>0</v>
      </c>
      <c r="EL2" s="21">
        <f t="shared" ca="1" si="18"/>
        <v>0</v>
      </c>
      <c r="EM2" s="21">
        <f t="shared" ca="1" si="18"/>
        <v>0</v>
      </c>
      <c r="EN2" s="21">
        <f t="shared" ca="1" si="18"/>
        <v>0</v>
      </c>
      <c r="EO2" s="22">
        <f t="shared" ca="1" si="18"/>
        <v>0</v>
      </c>
      <c r="EP2" s="31">
        <f t="shared" ref="EP2:EV11" ca="1" si="19">$I$11</f>
        <v>0</v>
      </c>
      <c r="EQ2" s="31">
        <f t="shared" ca="1" si="19"/>
        <v>0</v>
      </c>
      <c r="ER2" s="31">
        <f t="shared" ca="1" si="19"/>
        <v>0</v>
      </c>
      <c r="ES2" s="31">
        <f t="shared" ca="1" si="19"/>
        <v>0</v>
      </c>
      <c r="ET2" s="31">
        <f t="shared" ca="1" si="19"/>
        <v>0</v>
      </c>
      <c r="EU2" s="31">
        <f t="shared" ca="1" si="19"/>
        <v>0</v>
      </c>
      <c r="EV2" s="31">
        <f t="shared" ca="1" si="19"/>
        <v>0</v>
      </c>
      <c r="EW2" s="20">
        <f t="shared" ref="EW2:FC9" ca="1" si="20">$I$12</f>
        <v>2</v>
      </c>
      <c r="EX2" s="21">
        <f t="shared" ca="1" si="20"/>
        <v>2</v>
      </c>
      <c r="EY2" s="21">
        <f t="shared" ca="1" si="20"/>
        <v>2</v>
      </c>
      <c r="EZ2" s="21">
        <f t="shared" ca="1" si="20"/>
        <v>2</v>
      </c>
      <c r="FA2" s="21">
        <f t="shared" ca="1" si="20"/>
        <v>2</v>
      </c>
      <c r="FB2" s="21">
        <f t="shared" ca="1" si="20"/>
        <v>2</v>
      </c>
      <c r="FC2" s="22">
        <f t="shared" ca="1" si="20"/>
        <v>2</v>
      </c>
      <c r="FD2" s="31">
        <f t="shared" ref="FD2:FJ11" ca="1" si="21">$I$13</f>
        <v>0</v>
      </c>
      <c r="FE2" s="31">
        <f t="shared" ca="1" si="21"/>
        <v>0</v>
      </c>
      <c r="FF2" s="31">
        <f t="shared" ca="1" si="21"/>
        <v>0</v>
      </c>
      <c r="FG2" s="31">
        <f t="shared" ca="1" si="21"/>
        <v>0</v>
      </c>
      <c r="FH2" s="31">
        <f t="shared" ca="1" si="21"/>
        <v>0</v>
      </c>
      <c r="FI2" s="31">
        <f t="shared" ca="1" si="21"/>
        <v>0</v>
      </c>
      <c r="FJ2" s="31">
        <f t="shared" ca="1" si="21"/>
        <v>0</v>
      </c>
      <c r="FK2" s="20">
        <f t="shared" ref="FK2:FQ9" ca="1" si="22">$I$14</f>
        <v>0</v>
      </c>
      <c r="FL2" s="21">
        <f t="shared" ca="1" si="22"/>
        <v>0</v>
      </c>
      <c r="FM2" s="21">
        <f t="shared" ca="1" si="22"/>
        <v>0</v>
      </c>
      <c r="FN2" s="21">
        <f t="shared" ca="1" si="22"/>
        <v>0</v>
      </c>
      <c r="FO2" s="21">
        <f t="shared" ca="1" si="22"/>
        <v>0</v>
      </c>
      <c r="FP2" s="21">
        <f t="shared" ca="1" si="22"/>
        <v>0</v>
      </c>
      <c r="FQ2" s="22">
        <f t="shared" ca="1" si="22"/>
        <v>0</v>
      </c>
      <c r="FR2" s="31">
        <f t="shared" ref="FR2:FX11" ca="1" si="23">$I$15</f>
        <v>2</v>
      </c>
      <c r="FS2" s="31">
        <f t="shared" ca="1" si="23"/>
        <v>2</v>
      </c>
      <c r="FT2" s="31">
        <f t="shared" ca="1" si="23"/>
        <v>2</v>
      </c>
      <c r="FU2" s="31">
        <f t="shared" ca="1" si="23"/>
        <v>2</v>
      </c>
      <c r="FV2" s="31">
        <f t="shared" ca="1" si="23"/>
        <v>2</v>
      </c>
      <c r="FW2" s="31">
        <f t="shared" ca="1" si="23"/>
        <v>2</v>
      </c>
      <c r="FX2" s="29">
        <f t="shared" ca="1" si="23"/>
        <v>2</v>
      </c>
      <c r="FY2" s="30">
        <f t="shared" ref="FY2:GE11" ca="1" si="24">$I$4</f>
        <v>0</v>
      </c>
      <c r="FZ2" s="31">
        <f t="shared" ca="1" si="24"/>
        <v>0</v>
      </c>
      <c r="GA2" s="31">
        <f t="shared" ca="1" si="24"/>
        <v>0</v>
      </c>
      <c r="GB2" s="31">
        <f t="shared" ca="1" si="24"/>
        <v>0</v>
      </c>
      <c r="GC2" s="31">
        <f t="shared" ca="1" si="24"/>
        <v>0</v>
      </c>
      <c r="GD2" s="31">
        <f t="shared" ca="1" si="24"/>
        <v>0</v>
      </c>
      <c r="GE2" s="31">
        <f t="shared" ca="1" si="24"/>
        <v>0</v>
      </c>
      <c r="GF2" s="20">
        <f t="shared" ref="GF2:GL9" ca="1" si="25">$I$5</f>
        <v>0</v>
      </c>
      <c r="GG2" s="21">
        <f t="shared" ca="1" si="25"/>
        <v>0</v>
      </c>
      <c r="GH2" s="21">
        <f t="shared" ca="1" si="25"/>
        <v>0</v>
      </c>
      <c r="GI2" s="21">
        <f t="shared" ca="1" si="25"/>
        <v>0</v>
      </c>
      <c r="GJ2" s="21">
        <f t="shared" ca="1" si="25"/>
        <v>0</v>
      </c>
      <c r="GK2" s="21">
        <f t="shared" ca="1" si="25"/>
        <v>0</v>
      </c>
      <c r="GL2" s="22">
        <f t="shared" ca="1" si="25"/>
        <v>0</v>
      </c>
      <c r="GM2" s="31">
        <f t="shared" ref="GM2:GS11" ca="1" si="26">$I$6</f>
        <v>0</v>
      </c>
      <c r="GN2" s="31">
        <f t="shared" ca="1" si="26"/>
        <v>0</v>
      </c>
      <c r="GO2" s="31">
        <f t="shared" ca="1" si="26"/>
        <v>0</v>
      </c>
      <c r="GP2" s="31">
        <f t="shared" ca="1" si="26"/>
        <v>0</v>
      </c>
      <c r="GQ2" s="31">
        <f t="shared" ca="1" si="26"/>
        <v>0</v>
      </c>
      <c r="GR2" s="31">
        <f t="shared" ca="1" si="26"/>
        <v>0</v>
      </c>
      <c r="GS2" s="31">
        <f t="shared" ca="1" si="26"/>
        <v>0</v>
      </c>
      <c r="GT2" s="20">
        <f t="shared" ref="GT2:GZ9" ca="1" si="27">$I$7</f>
        <v>2</v>
      </c>
      <c r="GU2" s="21">
        <f t="shared" ca="1" si="27"/>
        <v>2</v>
      </c>
      <c r="GV2" s="21">
        <f t="shared" ca="1" si="27"/>
        <v>2</v>
      </c>
      <c r="GW2" s="21">
        <f t="shared" ca="1" si="27"/>
        <v>2</v>
      </c>
      <c r="GX2" s="21">
        <f t="shared" ca="1" si="27"/>
        <v>2</v>
      </c>
      <c r="GY2" s="21">
        <f t="shared" ca="1" si="27"/>
        <v>2</v>
      </c>
      <c r="GZ2" s="22">
        <f t="shared" ca="1" si="27"/>
        <v>2</v>
      </c>
      <c r="HA2" s="31">
        <f t="shared" ref="HA2:HH11" ca="1" si="28">$I$8</f>
        <v>0</v>
      </c>
      <c r="HB2" s="31">
        <f t="shared" ca="1" si="28"/>
        <v>0</v>
      </c>
      <c r="HC2" s="31">
        <f t="shared" ca="1" si="28"/>
        <v>0</v>
      </c>
      <c r="HD2" s="31">
        <f t="shared" ca="1" si="28"/>
        <v>0</v>
      </c>
      <c r="HE2" s="31">
        <f t="shared" ca="1" si="28"/>
        <v>0</v>
      </c>
      <c r="HF2" s="31">
        <f t="shared" ca="1" si="28"/>
        <v>0</v>
      </c>
      <c r="HG2" s="31">
        <f t="shared" ca="1" si="28"/>
        <v>0</v>
      </c>
      <c r="HH2" s="29">
        <f t="shared" ca="1" si="28"/>
        <v>0</v>
      </c>
      <c r="HI2" s="30">
        <f t="shared" ref="HI2:HN11" ca="1" si="29">$I$9</f>
        <v>2</v>
      </c>
      <c r="HJ2" s="31">
        <f t="shared" ca="1" si="29"/>
        <v>2</v>
      </c>
      <c r="HK2" s="31">
        <f t="shared" ca="1" si="29"/>
        <v>2</v>
      </c>
      <c r="HL2" s="31">
        <f t="shared" ca="1" si="29"/>
        <v>2</v>
      </c>
      <c r="HM2" s="31">
        <f t="shared" ca="1" si="29"/>
        <v>2</v>
      </c>
      <c r="HN2" s="31">
        <f t="shared" ca="1" si="29"/>
        <v>2</v>
      </c>
      <c r="HO2" s="20">
        <f t="shared" ref="HO2:HU9" ca="1" si="30">$I$10</f>
        <v>0</v>
      </c>
      <c r="HP2" s="21">
        <f t="shared" ca="1" si="30"/>
        <v>0</v>
      </c>
      <c r="HQ2" s="21">
        <f t="shared" ca="1" si="30"/>
        <v>0</v>
      </c>
      <c r="HR2" s="21">
        <f t="shared" ca="1" si="30"/>
        <v>0</v>
      </c>
      <c r="HS2" s="21">
        <f t="shared" ca="1" si="30"/>
        <v>0</v>
      </c>
      <c r="HT2" s="21">
        <f t="shared" ca="1" si="30"/>
        <v>0</v>
      </c>
      <c r="HU2" s="22">
        <f t="shared" ca="1" si="30"/>
        <v>0</v>
      </c>
      <c r="HV2" s="31">
        <f t="shared" ref="HV2:IB11" ca="1" si="31">$I$11</f>
        <v>0</v>
      </c>
      <c r="HW2" s="31">
        <f t="shared" ca="1" si="31"/>
        <v>0</v>
      </c>
      <c r="HX2" s="31">
        <f t="shared" ca="1" si="31"/>
        <v>0</v>
      </c>
      <c r="HY2" s="31">
        <f t="shared" ca="1" si="31"/>
        <v>0</v>
      </c>
      <c r="HZ2" s="31">
        <f t="shared" ca="1" si="31"/>
        <v>0</v>
      </c>
      <c r="IA2" s="31">
        <f t="shared" ca="1" si="31"/>
        <v>0</v>
      </c>
      <c r="IB2" s="31">
        <f t="shared" ca="1" si="31"/>
        <v>0</v>
      </c>
      <c r="IC2" s="20">
        <f t="shared" ref="IC2:II9" ca="1" si="32">$I$12</f>
        <v>2</v>
      </c>
      <c r="ID2" s="21">
        <f t="shared" ca="1" si="32"/>
        <v>2</v>
      </c>
      <c r="IE2" s="21">
        <f t="shared" ca="1" si="32"/>
        <v>2</v>
      </c>
      <c r="IF2" s="21">
        <f t="shared" ca="1" si="32"/>
        <v>2</v>
      </c>
      <c r="IG2" s="21">
        <f t="shared" ca="1" si="32"/>
        <v>2</v>
      </c>
      <c r="IH2" s="21">
        <f t="shared" ca="1" si="32"/>
        <v>2</v>
      </c>
      <c r="II2" s="22">
        <f t="shared" ca="1" si="32"/>
        <v>2</v>
      </c>
      <c r="IJ2" s="31">
        <f t="shared" ref="IJ2:IP11" ca="1" si="33">$I$13</f>
        <v>0</v>
      </c>
      <c r="IK2" s="31">
        <f t="shared" ca="1" si="33"/>
        <v>0</v>
      </c>
      <c r="IL2" s="31">
        <f t="shared" ca="1" si="33"/>
        <v>0</v>
      </c>
      <c r="IM2" s="31">
        <f t="shared" ca="1" si="33"/>
        <v>0</v>
      </c>
      <c r="IN2" s="31">
        <f t="shared" ca="1" si="33"/>
        <v>0</v>
      </c>
      <c r="IO2" s="31">
        <f t="shared" ca="1" si="33"/>
        <v>0</v>
      </c>
      <c r="IP2" s="31">
        <f t="shared" ca="1" si="33"/>
        <v>0</v>
      </c>
      <c r="IQ2" s="20">
        <f t="shared" ref="IQ2:IW9" ca="1" si="34">$I$14</f>
        <v>0</v>
      </c>
      <c r="IR2" s="21">
        <f t="shared" ca="1" si="34"/>
        <v>0</v>
      </c>
      <c r="IS2" s="21">
        <f t="shared" ca="1" si="34"/>
        <v>0</v>
      </c>
      <c r="IT2" s="21">
        <f t="shared" ca="1" si="34"/>
        <v>0</v>
      </c>
      <c r="IU2" s="21">
        <f t="shared" ca="1" si="34"/>
        <v>0</v>
      </c>
      <c r="IV2" s="21">
        <f t="shared" ca="1" si="34"/>
        <v>0</v>
      </c>
      <c r="IW2" s="22">
        <f t="shared" ca="1" si="34"/>
        <v>0</v>
      </c>
      <c r="IX2" s="31">
        <f t="shared" ref="IX2:JD11" ca="1" si="35">$I$15</f>
        <v>2</v>
      </c>
      <c r="IY2" s="31">
        <f t="shared" ca="1" si="35"/>
        <v>2</v>
      </c>
      <c r="IZ2" s="31">
        <f t="shared" ca="1" si="35"/>
        <v>2</v>
      </c>
      <c r="JA2" s="31">
        <f t="shared" ca="1" si="35"/>
        <v>2</v>
      </c>
      <c r="JB2" s="31">
        <f t="shared" ca="1" si="35"/>
        <v>2</v>
      </c>
      <c r="JC2" s="31">
        <f t="shared" ca="1" si="35"/>
        <v>2</v>
      </c>
      <c r="JD2" s="29">
        <f t="shared" ca="1" si="35"/>
        <v>2</v>
      </c>
    </row>
    <row r="3" spans="1:264" x14ac:dyDescent="0.4">
      <c r="A3" s="2"/>
      <c r="B3" s="2" t="s">
        <v>334</v>
      </c>
      <c r="C3" s="2" t="s">
        <v>353</v>
      </c>
      <c r="D3" s="2" t="s">
        <v>336</v>
      </c>
      <c r="E3" s="2" t="s">
        <v>337</v>
      </c>
      <c r="F3" s="2" t="s">
        <v>338</v>
      </c>
      <c r="G3" s="2" t="s">
        <v>339</v>
      </c>
      <c r="H3" s="14" t="s">
        <v>340</v>
      </c>
      <c r="I3" s="7" t="s">
        <v>341</v>
      </c>
      <c r="J3" s="15" t="s">
        <v>342</v>
      </c>
      <c r="M3" s="19">
        <f t="shared" ca="1" si="0"/>
        <v>0</v>
      </c>
      <c r="N3" s="16">
        <f t="shared" ca="1" si="0"/>
        <v>0</v>
      </c>
      <c r="O3" s="16">
        <f t="shared" ca="1" si="0"/>
        <v>0</v>
      </c>
      <c r="P3" s="16">
        <f t="shared" ca="1" si="0"/>
        <v>0</v>
      </c>
      <c r="Q3" s="16">
        <f t="shared" ca="1" si="0"/>
        <v>0</v>
      </c>
      <c r="R3" s="16">
        <f t="shared" ca="1" si="0"/>
        <v>0</v>
      </c>
      <c r="S3" s="18">
        <f t="shared" ca="1" si="0"/>
        <v>0</v>
      </c>
      <c r="T3" s="23">
        <f t="shared" ca="1" si="1"/>
        <v>0</v>
      </c>
      <c r="U3" s="17">
        <f t="shared" ca="1" si="1"/>
        <v>0</v>
      </c>
      <c r="V3" s="17">
        <f t="shared" ca="1" si="1"/>
        <v>0</v>
      </c>
      <c r="W3" s="17">
        <f t="shared" ca="1" si="1"/>
        <v>0</v>
      </c>
      <c r="X3" s="17">
        <f t="shared" ca="1" si="1"/>
        <v>0</v>
      </c>
      <c r="Y3" s="17">
        <f t="shared" ca="1" si="1"/>
        <v>0</v>
      </c>
      <c r="Z3" s="24">
        <f t="shared" ca="1" si="1"/>
        <v>0</v>
      </c>
      <c r="AA3" s="16">
        <f t="shared" ca="1" si="2"/>
        <v>0</v>
      </c>
      <c r="AB3" s="16">
        <f t="shared" ca="1" si="2"/>
        <v>0</v>
      </c>
      <c r="AC3" s="16">
        <f t="shared" ca="1" si="2"/>
        <v>0</v>
      </c>
      <c r="AD3" s="16">
        <f t="shared" ca="1" si="2"/>
        <v>0</v>
      </c>
      <c r="AE3" s="16">
        <f t="shared" ca="1" si="2"/>
        <v>0</v>
      </c>
      <c r="AF3" s="16">
        <f t="shared" ca="1" si="2"/>
        <v>0</v>
      </c>
      <c r="AG3" s="18">
        <f t="shared" ca="1" si="2"/>
        <v>0</v>
      </c>
      <c r="AH3" s="23">
        <f t="shared" ca="1" si="3"/>
        <v>2</v>
      </c>
      <c r="AI3" s="17">
        <f t="shared" ca="1" si="3"/>
        <v>2</v>
      </c>
      <c r="AJ3" s="17">
        <f t="shared" ca="1" si="3"/>
        <v>2</v>
      </c>
      <c r="AK3" s="17">
        <f t="shared" ca="1" si="3"/>
        <v>2</v>
      </c>
      <c r="AL3" s="17">
        <f t="shared" ca="1" si="3"/>
        <v>2</v>
      </c>
      <c r="AM3" s="17">
        <f t="shared" ca="1" si="3"/>
        <v>2</v>
      </c>
      <c r="AN3" s="24">
        <f t="shared" ca="1" si="3"/>
        <v>2</v>
      </c>
      <c r="AO3" s="19">
        <f t="shared" ca="1" si="4"/>
        <v>0</v>
      </c>
      <c r="AP3" s="16">
        <f t="shared" ca="1" si="4"/>
        <v>0</v>
      </c>
      <c r="AQ3" s="16">
        <f t="shared" ca="1" si="4"/>
        <v>0</v>
      </c>
      <c r="AR3" s="16">
        <f t="shared" ca="1" si="4"/>
        <v>0</v>
      </c>
      <c r="AS3" s="16">
        <f t="shared" ca="1" si="4"/>
        <v>0</v>
      </c>
      <c r="AT3" s="16">
        <f t="shared" ca="1" si="4"/>
        <v>0</v>
      </c>
      <c r="AU3" s="16">
        <f t="shared" ca="1" si="4"/>
        <v>0</v>
      </c>
      <c r="AV3" s="18">
        <f t="shared" ca="1" si="4"/>
        <v>0</v>
      </c>
      <c r="AW3" s="19">
        <f t="shared" ca="1" si="5"/>
        <v>2</v>
      </c>
      <c r="AX3" s="16">
        <f t="shared" ca="1" si="5"/>
        <v>2</v>
      </c>
      <c r="AY3" s="16">
        <f t="shared" ca="1" si="5"/>
        <v>2</v>
      </c>
      <c r="AZ3" s="16">
        <f t="shared" ca="1" si="5"/>
        <v>2</v>
      </c>
      <c r="BA3" s="16">
        <f t="shared" ca="1" si="5"/>
        <v>2</v>
      </c>
      <c r="BB3" s="16">
        <f t="shared" ca="1" si="5"/>
        <v>2</v>
      </c>
      <c r="BC3" s="23">
        <f t="shared" ca="1" si="6"/>
        <v>0</v>
      </c>
      <c r="BD3" s="17">
        <f t="shared" ca="1" si="6"/>
        <v>0</v>
      </c>
      <c r="BE3" s="17">
        <f t="shared" ca="1" si="6"/>
        <v>0</v>
      </c>
      <c r="BF3" s="17">
        <f t="shared" ca="1" si="6"/>
        <v>0</v>
      </c>
      <c r="BG3" s="17">
        <f t="shared" ca="1" si="6"/>
        <v>0</v>
      </c>
      <c r="BH3" s="17">
        <f t="shared" ca="1" si="6"/>
        <v>0</v>
      </c>
      <c r="BI3" s="24">
        <f t="shared" ca="1" si="6"/>
        <v>0</v>
      </c>
      <c r="BJ3" s="16">
        <f t="shared" ca="1" si="7"/>
        <v>0</v>
      </c>
      <c r="BK3" s="16">
        <f t="shared" ca="1" si="7"/>
        <v>0</v>
      </c>
      <c r="BL3" s="16">
        <f t="shared" ca="1" si="7"/>
        <v>0</v>
      </c>
      <c r="BM3" s="16">
        <f t="shared" ca="1" si="7"/>
        <v>0</v>
      </c>
      <c r="BN3" s="16">
        <f t="shared" ca="1" si="7"/>
        <v>0</v>
      </c>
      <c r="BO3" s="16">
        <f t="shared" ca="1" si="7"/>
        <v>0</v>
      </c>
      <c r="BP3" s="16">
        <f t="shared" ca="1" si="7"/>
        <v>0</v>
      </c>
      <c r="BQ3" s="23">
        <f t="shared" ca="1" si="8"/>
        <v>2</v>
      </c>
      <c r="BR3" s="17">
        <f t="shared" ca="1" si="8"/>
        <v>2</v>
      </c>
      <c r="BS3" s="17">
        <f t="shared" ca="1" si="8"/>
        <v>2</v>
      </c>
      <c r="BT3" s="17">
        <f t="shared" ca="1" si="8"/>
        <v>2</v>
      </c>
      <c r="BU3" s="17">
        <f t="shared" ca="1" si="8"/>
        <v>2</v>
      </c>
      <c r="BV3" s="17">
        <f t="shared" ca="1" si="8"/>
        <v>2</v>
      </c>
      <c r="BW3" s="24">
        <f t="shared" ca="1" si="8"/>
        <v>2</v>
      </c>
      <c r="BX3" s="16">
        <f t="shared" ca="1" si="9"/>
        <v>0</v>
      </c>
      <c r="BY3" s="16">
        <f t="shared" ca="1" si="9"/>
        <v>0</v>
      </c>
      <c r="BZ3" s="16">
        <f t="shared" ca="1" si="9"/>
        <v>0</v>
      </c>
      <c r="CA3" s="16">
        <f t="shared" ca="1" si="9"/>
        <v>0</v>
      </c>
      <c r="CB3" s="16">
        <f t="shared" ca="1" si="9"/>
        <v>0</v>
      </c>
      <c r="CC3" s="16">
        <f t="shared" ca="1" si="9"/>
        <v>0</v>
      </c>
      <c r="CD3" s="16">
        <f t="shared" ca="1" si="9"/>
        <v>0</v>
      </c>
      <c r="CE3" s="23">
        <f t="shared" ca="1" si="10"/>
        <v>0</v>
      </c>
      <c r="CF3" s="17">
        <f t="shared" ca="1" si="10"/>
        <v>0</v>
      </c>
      <c r="CG3" s="17">
        <f t="shared" ca="1" si="10"/>
        <v>0</v>
      </c>
      <c r="CH3" s="17">
        <f t="shared" ca="1" si="10"/>
        <v>0</v>
      </c>
      <c r="CI3" s="17">
        <f t="shared" ca="1" si="10"/>
        <v>0</v>
      </c>
      <c r="CJ3" s="17">
        <f t="shared" ca="1" si="10"/>
        <v>0</v>
      </c>
      <c r="CK3" s="24">
        <f t="shared" ca="1" si="10"/>
        <v>0</v>
      </c>
      <c r="CL3" s="16">
        <f t="shared" ca="1" si="11"/>
        <v>2</v>
      </c>
      <c r="CM3" s="16">
        <f t="shared" ca="1" si="11"/>
        <v>2</v>
      </c>
      <c r="CN3" s="16">
        <f t="shared" ca="1" si="11"/>
        <v>2</v>
      </c>
      <c r="CO3" s="16">
        <f t="shared" ca="1" si="11"/>
        <v>2</v>
      </c>
      <c r="CP3" s="16">
        <f t="shared" ca="1" si="11"/>
        <v>2</v>
      </c>
      <c r="CQ3" s="16">
        <f t="shared" ca="1" si="11"/>
        <v>2</v>
      </c>
      <c r="CR3" s="18">
        <f t="shared" ca="1" si="11"/>
        <v>2</v>
      </c>
      <c r="CS3" s="19">
        <f t="shared" ca="1" si="12"/>
        <v>0</v>
      </c>
      <c r="CT3" s="16">
        <f t="shared" ca="1" si="12"/>
        <v>0</v>
      </c>
      <c r="CU3" s="16">
        <f t="shared" ca="1" si="12"/>
        <v>0</v>
      </c>
      <c r="CV3" s="16">
        <f t="shared" ca="1" si="12"/>
        <v>0</v>
      </c>
      <c r="CW3" s="16">
        <f t="shared" ca="1" si="12"/>
        <v>0</v>
      </c>
      <c r="CX3" s="16">
        <f t="shared" ca="1" si="12"/>
        <v>0</v>
      </c>
      <c r="CY3" s="16">
        <f t="shared" ca="1" si="12"/>
        <v>0</v>
      </c>
      <c r="CZ3" s="23">
        <f t="shared" ca="1" si="13"/>
        <v>0</v>
      </c>
      <c r="DA3" s="17">
        <f t="shared" ca="1" si="13"/>
        <v>0</v>
      </c>
      <c r="DB3" s="17">
        <f t="shared" ca="1" si="13"/>
        <v>0</v>
      </c>
      <c r="DC3" s="17">
        <f t="shared" ca="1" si="13"/>
        <v>0</v>
      </c>
      <c r="DD3" s="17">
        <f t="shared" ca="1" si="13"/>
        <v>0</v>
      </c>
      <c r="DE3" s="17">
        <f t="shared" ca="1" si="13"/>
        <v>0</v>
      </c>
      <c r="DF3" s="24">
        <f t="shared" ca="1" si="13"/>
        <v>0</v>
      </c>
      <c r="DG3" s="16">
        <f t="shared" ca="1" si="14"/>
        <v>0</v>
      </c>
      <c r="DH3" s="16">
        <f t="shared" ca="1" si="14"/>
        <v>0</v>
      </c>
      <c r="DI3" s="16">
        <f t="shared" ca="1" si="14"/>
        <v>0</v>
      </c>
      <c r="DJ3" s="16">
        <f t="shared" ca="1" si="14"/>
        <v>0</v>
      </c>
      <c r="DK3" s="16">
        <f t="shared" ca="1" si="14"/>
        <v>0</v>
      </c>
      <c r="DL3" s="16">
        <f t="shared" ca="1" si="14"/>
        <v>0</v>
      </c>
      <c r="DM3" s="16">
        <f t="shared" ca="1" si="14"/>
        <v>0</v>
      </c>
      <c r="DN3" s="23">
        <f t="shared" ca="1" si="15"/>
        <v>2</v>
      </c>
      <c r="DO3" s="17">
        <f t="shared" ca="1" si="15"/>
        <v>2</v>
      </c>
      <c r="DP3" s="17">
        <f t="shared" ca="1" si="15"/>
        <v>2</v>
      </c>
      <c r="DQ3" s="17">
        <f t="shared" ca="1" si="15"/>
        <v>2</v>
      </c>
      <c r="DR3" s="17">
        <f t="shared" ca="1" si="15"/>
        <v>2</v>
      </c>
      <c r="DS3" s="17">
        <f t="shared" ca="1" si="15"/>
        <v>2</v>
      </c>
      <c r="DT3" s="24">
        <f t="shared" ca="1" si="15"/>
        <v>2</v>
      </c>
      <c r="DU3" s="16">
        <f t="shared" ca="1" si="16"/>
        <v>0</v>
      </c>
      <c r="DV3" s="16">
        <f t="shared" ca="1" si="16"/>
        <v>0</v>
      </c>
      <c r="DW3" s="16">
        <f t="shared" ca="1" si="16"/>
        <v>0</v>
      </c>
      <c r="DX3" s="16">
        <f t="shared" ca="1" si="16"/>
        <v>0</v>
      </c>
      <c r="DY3" s="16">
        <f t="shared" ca="1" si="16"/>
        <v>0</v>
      </c>
      <c r="DZ3" s="16">
        <f t="shared" ca="1" si="16"/>
        <v>0</v>
      </c>
      <c r="EA3" s="16">
        <f t="shared" ca="1" si="16"/>
        <v>0</v>
      </c>
      <c r="EB3" s="18">
        <f t="shared" ca="1" si="16"/>
        <v>0</v>
      </c>
      <c r="EC3" s="19">
        <f t="shared" ca="1" si="17"/>
        <v>2</v>
      </c>
      <c r="ED3" s="16">
        <f t="shared" ca="1" si="17"/>
        <v>2</v>
      </c>
      <c r="EE3" s="16">
        <f t="shared" ca="1" si="17"/>
        <v>2</v>
      </c>
      <c r="EF3" s="16">
        <f t="shared" ca="1" si="17"/>
        <v>2</v>
      </c>
      <c r="EG3" s="16">
        <f t="shared" ca="1" si="17"/>
        <v>2</v>
      </c>
      <c r="EH3" s="16">
        <f t="shared" ca="1" si="17"/>
        <v>2</v>
      </c>
      <c r="EI3" s="23">
        <f t="shared" ca="1" si="18"/>
        <v>0</v>
      </c>
      <c r="EJ3" s="17">
        <f t="shared" ca="1" si="18"/>
        <v>0</v>
      </c>
      <c r="EK3" s="17">
        <f t="shared" ca="1" si="18"/>
        <v>0</v>
      </c>
      <c r="EL3" s="17">
        <f t="shared" ca="1" si="18"/>
        <v>0</v>
      </c>
      <c r="EM3" s="17">
        <f t="shared" ca="1" si="18"/>
        <v>0</v>
      </c>
      <c r="EN3" s="17">
        <f t="shared" ca="1" si="18"/>
        <v>0</v>
      </c>
      <c r="EO3" s="24">
        <f t="shared" ca="1" si="18"/>
        <v>0</v>
      </c>
      <c r="EP3" s="16">
        <f t="shared" ca="1" si="19"/>
        <v>0</v>
      </c>
      <c r="EQ3" s="16">
        <f t="shared" ca="1" si="19"/>
        <v>0</v>
      </c>
      <c r="ER3" s="16">
        <f t="shared" ca="1" si="19"/>
        <v>0</v>
      </c>
      <c r="ES3" s="16">
        <f t="shared" ca="1" si="19"/>
        <v>0</v>
      </c>
      <c r="ET3" s="16">
        <f t="shared" ca="1" si="19"/>
        <v>0</v>
      </c>
      <c r="EU3" s="16">
        <f t="shared" ca="1" si="19"/>
        <v>0</v>
      </c>
      <c r="EV3" s="16">
        <f t="shared" ca="1" si="19"/>
        <v>0</v>
      </c>
      <c r="EW3" s="23">
        <f t="shared" ca="1" si="20"/>
        <v>2</v>
      </c>
      <c r="EX3" s="17">
        <f t="shared" ca="1" si="20"/>
        <v>2</v>
      </c>
      <c r="EY3" s="17">
        <f t="shared" ca="1" si="20"/>
        <v>2</v>
      </c>
      <c r="EZ3" s="17">
        <f t="shared" ca="1" si="20"/>
        <v>2</v>
      </c>
      <c r="FA3" s="17">
        <f t="shared" ca="1" si="20"/>
        <v>2</v>
      </c>
      <c r="FB3" s="17">
        <f t="shared" ca="1" si="20"/>
        <v>2</v>
      </c>
      <c r="FC3" s="24">
        <f t="shared" ca="1" si="20"/>
        <v>2</v>
      </c>
      <c r="FD3" s="16">
        <f t="shared" ca="1" si="21"/>
        <v>0</v>
      </c>
      <c r="FE3" s="16">
        <f t="shared" ca="1" si="21"/>
        <v>0</v>
      </c>
      <c r="FF3" s="16">
        <f t="shared" ca="1" si="21"/>
        <v>0</v>
      </c>
      <c r="FG3" s="16">
        <f t="shared" ca="1" si="21"/>
        <v>0</v>
      </c>
      <c r="FH3" s="16">
        <f t="shared" ca="1" si="21"/>
        <v>0</v>
      </c>
      <c r="FI3" s="16">
        <f t="shared" ca="1" si="21"/>
        <v>0</v>
      </c>
      <c r="FJ3" s="16">
        <f t="shared" ca="1" si="21"/>
        <v>0</v>
      </c>
      <c r="FK3" s="23">
        <f t="shared" ca="1" si="22"/>
        <v>0</v>
      </c>
      <c r="FL3" s="17">
        <f t="shared" ca="1" si="22"/>
        <v>0</v>
      </c>
      <c r="FM3" s="17">
        <f t="shared" ca="1" si="22"/>
        <v>0</v>
      </c>
      <c r="FN3" s="17">
        <f t="shared" ca="1" si="22"/>
        <v>0</v>
      </c>
      <c r="FO3" s="17">
        <f t="shared" ca="1" si="22"/>
        <v>0</v>
      </c>
      <c r="FP3" s="17">
        <f t="shared" ca="1" si="22"/>
        <v>0</v>
      </c>
      <c r="FQ3" s="24">
        <f t="shared" ca="1" si="22"/>
        <v>0</v>
      </c>
      <c r="FR3" s="16">
        <f t="shared" ca="1" si="23"/>
        <v>2</v>
      </c>
      <c r="FS3" s="16">
        <f t="shared" ca="1" si="23"/>
        <v>2</v>
      </c>
      <c r="FT3" s="16">
        <f t="shared" ca="1" si="23"/>
        <v>2</v>
      </c>
      <c r="FU3" s="16">
        <f t="shared" ca="1" si="23"/>
        <v>2</v>
      </c>
      <c r="FV3" s="16">
        <f t="shared" ca="1" si="23"/>
        <v>2</v>
      </c>
      <c r="FW3" s="16">
        <f t="shared" ca="1" si="23"/>
        <v>2</v>
      </c>
      <c r="FX3" s="18">
        <f t="shared" ca="1" si="23"/>
        <v>2</v>
      </c>
      <c r="FY3" s="19">
        <f t="shared" ca="1" si="24"/>
        <v>0</v>
      </c>
      <c r="FZ3" s="16">
        <f t="shared" ca="1" si="24"/>
        <v>0</v>
      </c>
      <c r="GA3" s="16">
        <f t="shared" ca="1" si="24"/>
        <v>0</v>
      </c>
      <c r="GB3" s="16">
        <f t="shared" ca="1" si="24"/>
        <v>0</v>
      </c>
      <c r="GC3" s="16">
        <f t="shared" ca="1" si="24"/>
        <v>0</v>
      </c>
      <c r="GD3" s="16">
        <f t="shared" ca="1" si="24"/>
        <v>0</v>
      </c>
      <c r="GE3" s="16">
        <f t="shared" ca="1" si="24"/>
        <v>0</v>
      </c>
      <c r="GF3" s="23">
        <f t="shared" ca="1" si="25"/>
        <v>0</v>
      </c>
      <c r="GG3" s="17">
        <f t="shared" ca="1" si="25"/>
        <v>0</v>
      </c>
      <c r="GH3" s="17">
        <f t="shared" ca="1" si="25"/>
        <v>0</v>
      </c>
      <c r="GI3" s="17">
        <f t="shared" ca="1" si="25"/>
        <v>0</v>
      </c>
      <c r="GJ3" s="17">
        <f t="shared" ca="1" si="25"/>
        <v>0</v>
      </c>
      <c r="GK3" s="17">
        <f t="shared" ca="1" si="25"/>
        <v>0</v>
      </c>
      <c r="GL3" s="24">
        <f t="shared" ca="1" si="25"/>
        <v>0</v>
      </c>
      <c r="GM3" s="16">
        <f t="shared" ca="1" si="26"/>
        <v>0</v>
      </c>
      <c r="GN3" s="16">
        <f t="shared" ca="1" si="26"/>
        <v>0</v>
      </c>
      <c r="GO3" s="16">
        <f t="shared" ca="1" si="26"/>
        <v>0</v>
      </c>
      <c r="GP3" s="16">
        <f t="shared" ca="1" si="26"/>
        <v>0</v>
      </c>
      <c r="GQ3" s="16">
        <f t="shared" ca="1" si="26"/>
        <v>0</v>
      </c>
      <c r="GR3" s="16">
        <f t="shared" ca="1" si="26"/>
        <v>0</v>
      </c>
      <c r="GS3" s="16">
        <f t="shared" ca="1" si="26"/>
        <v>0</v>
      </c>
      <c r="GT3" s="23">
        <f t="shared" ca="1" si="27"/>
        <v>2</v>
      </c>
      <c r="GU3" s="17">
        <f t="shared" ca="1" si="27"/>
        <v>2</v>
      </c>
      <c r="GV3" s="17">
        <f t="shared" ca="1" si="27"/>
        <v>2</v>
      </c>
      <c r="GW3" s="17">
        <f t="shared" ca="1" si="27"/>
        <v>2</v>
      </c>
      <c r="GX3" s="17">
        <f t="shared" ca="1" si="27"/>
        <v>2</v>
      </c>
      <c r="GY3" s="17">
        <f t="shared" ca="1" si="27"/>
        <v>2</v>
      </c>
      <c r="GZ3" s="24">
        <f t="shared" ca="1" si="27"/>
        <v>2</v>
      </c>
      <c r="HA3" s="16">
        <f t="shared" ca="1" si="28"/>
        <v>0</v>
      </c>
      <c r="HB3" s="16">
        <f t="shared" ca="1" si="28"/>
        <v>0</v>
      </c>
      <c r="HC3" s="16">
        <f t="shared" ca="1" si="28"/>
        <v>0</v>
      </c>
      <c r="HD3" s="16">
        <f t="shared" ca="1" si="28"/>
        <v>0</v>
      </c>
      <c r="HE3" s="16">
        <f t="shared" ca="1" si="28"/>
        <v>0</v>
      </c>
      <c r="HF3" s="16">
        <f t="shared" ca="1" si="28"/>
        <v>0</v>
      </c>
      <c r="HG3" s="16">
        <f t="shared" ca="1" si="28"/>
        <v>0</v>
      </c>
      <c r="HH3" s="18">
        <f t="shared" ca="1" si="28"/>
        <v>0</v>
      </c>
      <c r="HI3" s="19">
        <f t="shared" ca="1" si="29"/>
        <v>2</v>
      </c>
      <c r="HJ3" s="16">
        <f t="shared" ca="1" si="29"/>
        <v>2</v>
      </c>
      <c r="HK3" s="16">
        <f t="shared" ca="1" si="29"/>
        <v>2</v>
      </c>
      <c r="HL3" s="16">
        <f t="shared" ca="1" si="29"/>
        <v>2</v>
      </c>
      <c r="HM3" s="16">
        <f t="shared" ca="1" si="29"/>
        <v>2</v>
      </c>
      <c r="HN3" s="16">
        <f t="shared" ca="1" si="29"/>
        <v>2</v>
      </c>
      <c r="HO3" s="23">
        <f t="shared" ca="1" si="30"/>
        <v>0</v>
      </c>
      <c r="HP3" s="17">
        <f t="shared" ca="1" si="30"/>
        <v>0</v>
      </c>
      <c r="HQ3" s="17">
        <f t="shared" ca="1" si="30"/>
        <v>0</v>
      </c>
      <c r="HR3" s="17">
        <f t="shared" ca="1" si="30"/>
        <v>0</v>
      </c>
      <c r="HS3" s="17">
        <f t="shared" ca="1" si="30"/>
        <v>0</v>
      </c>
      <c r="HT3" s="17">
        <f t="shared" ca="1" si="30"/>
        <v>0</v>
      </c>
      <c r="HU3" s="24">
        <f t="shared" ca="1" si="30"/>
        <v>0</v>
      </c>
      <c r="HV3" s="16">
        <f t="shared" ca="1" si="31"/>
        <v>0</v>
      </c>
      <c r="HW3" s="16">
        <f t="shared" ca="1" si="31"/>
        <v>0</v>
      </c>
      <c r="HX3" s="16">
        <f t="shared" ca="1" si="31"/>
        <v>0</v>
      </c>
      <c r="HY3" s="16">
        <f t="shared" ca="1" si="31"/>
        <v>0</v>
      </c>
      <c r="HZ3" s="16">
        <f t="shared" ca="1" si="31"/>
        <v>0</v>
      </c>
      <c r="IA3" s="16">
        <f t="shared" ca="1" si="31"/>
        <v>0</v>
      </c>
      <c r="IB3" s="16">
        <f t="shared" ca="1" si="31"/>
        <v>0</v>
      </c>
      <c r="IC3" s="23">
        <f t="shared" ca="1" si="32"/>
        <v>2</v>
      </c>
      <c r="ID3" s="17">
        <f t="shared" ca="1" si="32"/>
        <v>2</v>
      </c>
      <c r="IE3" s="17">
        <f t="shared" ca="1" si="32"/>
        <v>2</v>
      </c>
      <c r="IF3" s="17">
        <f t="shared" ca="1" si="32"/>
        <v>2</v>
      </c>
      <c r="IG3" s="17">
        <f t="shared" ca="1" si="32"/>
        <v>2</v>
      </c>
      <c r="IH3" s="17">
        <f t="shared" ca="1" si="32"/>
        <v>2</v>
      </c>
      <c r="II3" s="24">
        <f t="shared" ca="1" si="32"/>
        <v>2</v>
      </c>
      <c r="IJ3" s="16">
        <f t="shared" ca="1" si="33"/>
        <v>0</v>
      </c>
      <c r="IK3" s="16">
        <f t="shared" ca="1" si="33"/>
        <v>0</v>
      </c>
      <c r="IL3" s="16">
        <f t="shared" ca="1" si="33"/>
        <v>0</v>
      </c>
      <c r="IM3" s="16">
        <f t="shared" ca="1" si="33"/>
        <v>0</v>
      </c>
      <c r="IN3" s="16">
        <f t="shared" ca="1" si="33"/>
        <v>0</v>
      </c>
      <c r="IO3" s="16">
        <f t="shared" ca="1" si="33"/>
        <v>0</v>
      </c>
      <c r="IP3" s="16">
        <f t="shared" ca="1" si="33"/>
        <v>0</v>
      </c>
      <c r="IQ3" s="23">
        <f t="shared" ca="1" si="34"/>
        <v>0</v>
      </c>
      <c r="IR3" s="17">
        <f t="shared" ca="1" si="34"/>
        <v>0</v>
      </c>
      <c r="IS3" s="17">
        <f t="shared" ca="1" si="34"/>
        <v>0</v>
      </c>
      <c r="IT3" s="17">
        <f t="shared" ca="1" si="34"/>
        <v>0</v>
      </c>
      <c r="IU3" s="17">
        <f t="shared" ca="1" si="34"/>
        <v>0</v>
      </c>
      <c r="IV3" s="17">
        <f t="shared" ca="1" si="34"/>
        <v>0</v>
      </c>
      <c r="IW3" s="24">
        <f t="shared" ca="1" si="34"/>
        <v>0</v>
      </c>
      <c r="IX3" s="16">
        <f t="shared" ca="1" si="35"/>
        <v>2</v>
      </c>
      <c r="IY3" s="16">
        <f t="shared" ca="1" si="35"/>
        <v>2</v>
      </c>
      <c r="IZ3" s="16">
        <f t="shared" ca="1" si="35"/>
        <v>2</v>
      </c>
      <c r="JA3" s="16">
        <f t="shared" ca="1" si="35"/>
        <v>2</v>
      </c>
      <c r="JB3" s="16">
        <f t="shared" ca="1" si="35"/>
        <v>2</v>
      </c>
      <c r="JC3" s="16">
        <f t="shared" ca="1" si="35"/>
        <v>2</v>
      </c>
      <c r="JD3" s="18">
        <f t="shared" ca="1" si="35"/>
        <v>2</v>
      </c>
    </row>
    <row r="4" spans="1:264" x14ac:dyDescent="0.4">
      <c r="A4" s="2"/>
      <c r="B4" s="2" cm="1">
        <f t="array" aca="1" ref="B4" ca="1">CELL("row")</f>
        <v>17</v>
      </c>
      <c r="C4" s="2" cm="1">
        <f t="array" aca="1" ref="C4" ca="1">INDEX(CodeAndScale[wRootSemi], CurrentRow - ROW(CodeAndScale[#Headers]))</f>
        <v>8</v>
      </c>
      <c r="D4" s="2" cm="1">
        <f t="array" aca="1" ref="D4:D5" ca="1">_xlfn.LET(
    _xlpm.RelRow, CurrentRow - ROW(CodeAndScale[#Headers]),
    _xlpm.RawNotes, INDEX(CodeAndScale[[AN1]:[AN2]], _xlpm.RelRow, 0),
    _xlpm.CleanNotes, SUBSTITUTE(SUBSTITUTE(_xlpm.RawNotes, "(", ""), ")", ""),
    _xlfn.TOCOL(_xlfn.XLOOKUP(_xlpm.CleanNotes, NoteDefinitions[NoteName], NoteDefinitions[SemitonePosition], -1))
)</f>
        <v>-1</v>
      </c>
      <c r="E4" s="2" cm="1">
        <f t="array" aca="1" ref="E4:E5" ca="1">_xlfn.LET(
    _xlpm.RelRow, CurrentRow - ROW(CodeAndScale[#Headers]),
    _xlpm.TargetNotes, _xlfn.HSTACK(INDEX(CodeAndScale[GT3], _xlpm.RelRow), INDEX(CodeAndScale[GT7], _xlpm.RelRow)),
    _xlfn.TOCOL(_xlfn.XLOOKUP(_xlpm.TargetNotes, NoteDefinitions[NoteName], NoteDefinitions[SemitonePosition], -1))
)</f>
        <v>11</v>
      </c>
      <c r="F4" s="2" cm="1">
        <f t="array" aca="1" ref="F4:F11" ca="1">_xlfn.LET(
    _xlpm.RelRow, CurrentRow - ROW(CodeAndScale[#Headers]),
    _xlpm.TargetNotes, INDEX(CodeAndScale[[CT1]:[CT8]], _xlpm.RelRow, 0),
    _xlfn.TOCOL(_xlfn.XLOOKUP(_xlpm.TargetNotes, NoteDefinitions[NoteName], NoteDefinitions[SemitonePosition], -1))
)</f>
        <v>8</v>
      </c>
      <c r="G4" s="2" cm="1">
        <f t="array" aca="1" ref="G4:G12" ca="1">_xlfn.LET(
    _xlpm.RelRow, CurrentRow - ROW(CodeAndScale[#Headers]),
    _xlpm.TargetNotes, INDEX(CodeAndScale[[SN1]:[SN9]], _xlpm.RelRow, 0),
    _xlfn.TOCOL(_xlfn.XLOOKUP(_xlpm.TargetNotes, NoteDefinitions[NoteName], NoteDefinitions[SemitonePosition], -1))
)</f>
        <v>8</v>
      </c>
      <c r="H4" s="14" t="s">
        <v>310</v>
      </c>
      <c r="I4" s="7" cm="1">
        <f t="array" aca="1" ref="I4:I15" ca="1">_xlfn.MAP(_xlfn.SEQUENCE(12,1,0), _xlfn.LAMBDA(_xlpm.pitch,
    IF(ISNUMBER(MATCH(_xlpm.pitch,_xlfn.ANCHORARRAY( F4), 0)), 2,
    0)
))</f>
        <v>0</v>
      </c>
      <c r="J4" s="2" cm="1">
        <f t="array" aca="1" ref="J4:J15" ca="1">_xlfn.MAP(_xlfn.SEQUENCE(12,1,0), _xlfn.LAMBDA(_xlpm.pitch,
    IF(_xlpm.pitch = $G$4, 5,
    IF(ISNUMBER(MATCH(_xlpm.pitch,_xlfn.ANCHORARRAY( D4), 0)), 4,
    IF(ISNUMBER(MATCH(_xlpm.pitch,_xlfn.ANCHORARRAY( E4), 0)), 3,
    IF(ISNUMBER(MATCH(_xlpm.pitch,_xlfn.ANCHORARRAY( G4), 0)), 1,
    0))))
))</f>
        <v>0</v>
      </c>
      <c r="M4" s="19">
        <f t="shared" ca="1" si="0"/>
        <v>0</v>
      </c>
      <c r="N4" s="16">
        <f t="shared" ca="1" si="0"/>
        <v>0</v>
      </c>
      <c r="O4" s="16">
        <f t="shared" ca="1" si="0"/>
        <v>0</v>
      </c>
      <c r="P4" s="16">
        <f t="shared" ca="1" si="0"/>
        <v>0</v>
      </c>
      <c r="Q4" s="16">
        <f t="shared" ca="1" si="0"/>
        <v>0</v>
      </c>
      <c r="R4" s="16">
        <f t="shared" ca="1" si="0"/>
        <v>0</v>
      </c>
      <c r="S4" s="18">
        <f t="shared" ca="1" si="0"/>
        <v>0</v>
      </c>
      <c r="T4" s="23">
        <f t="shared" ca="1" si="1"/>
        <v>0</v>
      </c>
      <c r="U4" s="17">
        <f t="shared" ca="1" si="1"/>
        <v>0</v>
      </c>
      <c r="V4" s="17">
        <f t="shared" ca="1" si="1"/>
        <v>0</v>
      </c>
      <c r="W4" s="17">
        <f t="shared" ca="1" si="1"/>
        <v>0</v>
      </c>
      <c r="X4" s="17">
        <f t="shared" ca="1" si="1"/>
        <v>0</v>
      </c>
      <c r="Y4" s="17">
        <f t="shared" ca="1" si="1"/>
        <v>0</v>
      </c>
      <c r="Z4" s="24">
        <f t="shared" ca="1" si="1"/>
        <v>0</v>
      </c>
      <c r="AA4" s="16">
        <f t="shared" ca="1" si="2"/>
        <v>0</v>
      </c>
      <c r="AB4" s="16">
        <f t="shared" ca="1" si="2"/>
        <v>0</v>
      </c>
      <c r="AC4" s="16">
        <f t="shared" ca="1" si="2"/>
        <v>0</v>
      </c>
      <c r="AD4" s="16">
        <f t="shared" ca="1" si="2"/>
        <v>0</v>
      </c>
      <c r="AE4" s="16">
        <f t="shared" ca="1" si="2"/>
        <v>0</v>
      </c>
      <c r="AF4" s="16">
        <f t="shared" ca="1" si="2"/>
        <v>0</v>
      </c>
      <c r="AG4" s="18">
        <f t="shared" ca="1" si="2"/>
        <v>0</v>
      </c>
      <c r="AH4" s="23">
        <f t="shared" ca="1" si="3"/>
        <v>2</v>
      </c>
      <c r="AI4" s="17">
        <f t="shared" ca="1" si="3"/>
        <v>2</v>
      </c>
      <c r="AJ4" s="17">
        <f t="shared" ca="1" si="3"/>
        <v>2</v>
      </c>
      <c r="AK4" s="17">
        <f t="shared" ca="1" si="3"/>
        <v>2</v>
      </c>
      <c r="AL4" s="17">
        <f t="shared" ca="1" si="3"/>
        <v>2</v>
      </c>
      <c r="AM4" s="17">
        <f t="shared" ca="1" si="3"/>
        <v>2</v>
      </c>
      <c r="AN4" s="24">
        <f t="shared" ca="1" si="3"/>
        <v>2</v>
      </c>
      <c r="AO4" s="19">
        <f t="shared" ca="1" si="4"/>
        <v>0</v>
      </c>
      <c r="AP4" s="16">
        <f t="shared" ca="1" si="4"/>
        <v>0</v>
      </c>
      <c r="AQ4" s="16">
        <f t="shared" ca="1" si="4"/>
        <v>0</v>
      </c>
      <c r="AR4" s="16">
        <f t="shared" ca="1" si="4"/>
        <v>0</v>
      </c>
      <c r="AS4" s="16">
        <f t="shared" ca="1" si="4"/>
        <v>0</v>
      </c>
      <c r="AT4" s="16">
        <f t="shared" ca="1" si="4"/>
        <v>0</v>
      </c>
      <c r="AU4" s="16">
        <f t="shared" ca="1" si="4"/>
        <v>0</v>
      </c>
      <c r="AV4" s="18">
        <f t="shared" ca="1" si="4"/>
        <v>0</v>
      </c>
      <c r="AW4" s="19">
        <f t="shared" ca="1" si="5"/>
        <v>2</v>
      </c>
      <c r="AX4" s="16">
        <f t="shared" ca="1" si="5"/>
        <v>2</v>
      </c>
      <c r="AY4" s="16">
        <f t="shared" ca="1" si="5"/>
        <v>2</v>
      </c>
      <c r="AZ4" s="16">
        <f t="shared" ca="1" si="5"/>
        <v>2</v>
      </c>
      <c r="BA4" s="16">
        <f t="shared" ca="1" si="5"/>
        <v>2</v>
      </c>
      <c r="BB4" s="16">
        <f t="shared" ca="1" si="5"/>
        <v>2</v>
      </c>
      <c r="BC4" s="23">
        <f t="shared" ca="1" si="6"/>
        <v>0</v>
      </c>
      <c r="BD4" s="17">
        <f t="shared" ca="1" si="6"/>
        <v>0</v>
      </c>
      <c r="BE4" s="17">
        <f t="shared" ca="1" si="6"/>
        <v>0</v>
      </c>
      <c r="BF4" s="17">
        <f t="shared" ca="1" si="6"/>
        <v>0</v>
      </c>
      <c r="BG4" s="17">
        <f t="shared" ca="1" si="6"/>
        <v>0</v>
      </c>
      <c r="BH4" s="17">
        <f t="shared" ca="1" si="6"/>
        <v>0</v>
      </c>
      <c r="BI4" s="24">
        <f t="shared" ca="1" si="6"/>
        <v>0</v>
      </c>
      <c r="BJ4" s="16">
        <f t="shared" ca="1" si="7"/>
        <v>0</v>
      </c>
      <c r="BK4" s="16">
        <f t="shared" ca="1" si="7"/>
        <v>0</v>
      </c>
      <c r="BL4" s="16">
        <f t="shared" ca="1" si="7"/>
        <v>0</v>
      </c>
      <c r="BM4" s="16">
        <f t="shared" ca="1" si="7"/>
        <v>0</v>
      </c>
      <c r="BN4" s="16">
        <f t="shared" ca="1" si="7"/>
        <v>0</v>
      </c>
      <c r="BO4" s="16">
        <f t="shared" ca="1" si="7"/>
        <v>0</v>
      </c>
      <c r="BP4" s="16">
        <f t="shared" ca="1" si="7"/>
        <v>0</v>
      </c>
      <c r="BQ4" s="23">
        <f t="shared" ca="1" si="8"/>
        <v>2</v>
      </c>
      <c r="BR4" s="17">
        <f t="shared" ca="1" si="8"/>
        <v>2</v>
      </c>
      <c r="BS4" s="17">
        <f t="shared" ca="1" si="8"/>
        <v>2</v>
      </c>
      <c r="BT4" s="17">
        <f t="shared" ca="1" si="8"/>
        <v>2</v>
      </c>
      <c r="BU4" s="17">
        <f t="shared" ca="1" si="8"/>
        <v>2</v>
      </c>
      <c r="BV4" s="17">
        <f t="shared" ca="1" si="8"/>
        <v>2</v>
      </c>
      <c r="BW4" s="24">
        <f t="shared" ca="1" si="8"/>
        <v>2</v>
      </c>
      <c r="BX4" s="16">
        <f t="shared" ca="1" si="9"/>
        <v>0</v>
      </c>
      <c r="BY4" s="16">
        <f t="shared" ca="1" si="9"/>
        <v>0</v>
      </c>
      <c r="BZ4" s="16">
        <f t="shared" ca="1" si="9"/>
        <v>0</v>
      </c>
      <c r="CA4" s="16">
        <f t="shared" ca="1" si="9"/>
        <v>0</v>
      </c>
      <c r="CB4" s="16">
        <f t="shared" ca="1" si="9"/>
        <v>0</v>
      </c>
      <c r="CC4" s="16">
        <f t="shared" ca="1" si="9"/>
        <v>0</v>
      </c>
      <c r="CD4" s="16">
        <f t="shared" ca="1" si="9"/>
        <v>0</v>
      </c>
      <c r="CE4" s="23">
        <f t="shared" ca="1" si="10"/>
        <v>0</v>
      </c>
      <c r="CF4" s="17">
        <f t="shared" ca="1" si="10"/>
        <v>0</v>
      </c>
      <c r="CG4" s="17">
        <f t="shared" ca="1" si="10"/>
        <v>0</v>
      </c>
      <c r="CH4" s="17">
        <f t="shared" ca="1" si="10"/>
        <v>0</v>
      </c>
      <c r="CI4" s="17">
        <f t="shared" ca="1" si="10"/>
        <v>0</v>
      </c>
      <c r="CJ4" s="17">
        <f t="shared" ca="1" si="10"/>
        <v>0</v>
      </c>
      <c r="CK4" s="24">
        <f t="shared" ca="1" si="10"/>
        <v>0</v>
      </c>
      <c r="CL4" s="16">
        <f t="shared" ca="1" si="11"/>
        <v>2</v>
      </c>
      <c r="CM4" s="16">
        <f t="shared" ca="1" si="11"/>
        <v>2</v>
      </c>
      <c r="CN4" s="16">
        <f t="shared" ca="1" si="11"/>
        <v>2</v>
      </c>
      <c r="CO4" s="16">
        <f t="shared" ca="1" si="11"/>
        <v>2</v>
      </c>
      <c r="CP4" s="16">
        <f t="shared" ca="1" si="11"/>
        <v>2</v>
      </c>
      <c r="CQ4" s="16">
        <f t="shared" ca="1" si="11"/>
        <v>2</v>
      </c>
      <c r="CR4" s="18">
        <f t="shared" ca="1" si="11"/>
        <v>2</v>
      </c>
      <c r="CS4" s="19">
        <f t="shared" ca="1" si="12"/>
        <v>0</v>
      </c>
      <c r="CT4" s="16">
        <f t="shared" ca="1" si="12"/>
        <v>0</v>
      </c>
      <c r="CU4" s="16">
        <f t="shared" ca="1" si="12"/>
        <v>0</v>
      </c>
      <c r="CV4" s="16">
        <f t="shared" ca="1" si="12"/>
        <v>0</v>
      </c>
      <c r="CW4" s="16">
        <f t="shared" ca="1" si="12"/>
        <v>0</v>
      </c>
      <c r="CX4" s="16">
        <f t="shared" ca="1" si="12"/>
        <v>0</v>
      </c>
      <c r="CY4" s="16">
        <f t="shared" ca="1" si="12"/>
        <v>0</v>
      </c>
      <c r="CZ4" s="23">
        <f t="shared" ca="1" si="13"/>
        <v>0</v>
      </c>
      <c r="DA4" s="17">
        <f t="shared" ca="1" si="13"/>
        <v>0</v>
      </c>
      <c r="DB4" s="17">
        <f t="shared" ca="1" si="13"/>
        <v>0</v>
      </c>
      <c r="DC4" s="17">
        <f t="shared" ca="1" si="13"/>
        <v>0</v>
      </c>
      <c r="DD4" s="17">
        <f t="shared" ca="1" si="13"/>
        <v>0</v>
      </c>
      <c r="DE4" s="17">
        <f t="shared" ca="1" si="13"/>
        <v>0</v>
      </c>
      <c r="DF4" s="24">
        <f t="shared" ca="1" si="13"/>
        <v>0</v>
      </c>
      <c r="DG4" s="16">
        <f t="shared" ca="1" si="14"/>
        <v>0</v>
      </c>
      <c r="DH4" s="16">
        <f t="shared" ca="1" si="14"/>
        <v>0</v>
      </c>
      <c r="DI4" s="16">
        <f t="shared" ca="1" si="14"/>
        <v>0</v>
      </c>
      <c r="DJ4" s="16">
        <f t="shared" ca="1" si="14"/>
        <v>0</v>
      </c>
      <c r="DK4" s="16">
        <f t="shared" ca="1" si="14"/>
        <v>0</v>
      </c>
      <c r="DL4" s="16">
        <f t="shared" ca="1" si="14"/>
        <v>0</v>
      </c>
      <c r="DM4" s="16">
        <f t="shared" ca="1" si="14"/>
        <v>0</v>
      </c>
      <c r="DN4" s="23">
        <f t="shared" ca="1" si="15"/>
        <v>2</v>
      </c>
      <c r="DO4" s="17">
        <f t="shared" ca="1" si="15"/>
        <v>2</v>
      </c>
      <c r="DP4" s="17">
        <f t="shared" ca="1" si="15"/>
        <v>2</v>
      </c>
      <c r="DQ4" s="17">
        <f t="shared" ca="1" si="15"/>
        <v>2</v>
      </c>
      <c r="DR4" s="17">
        <f t="shared" ca="1" si="15"/>
        <v>2</v>
      </c>
      <c r="DS4" s="17">
        <f t="shared" ca="1" si="15"/>
        <v>2</v>
      </c>
      <c r="DT4" s="24">
        <f t="shared" ca="1" si="15"/>
        <v>2</v>
      </c>
      <c r="DU4" s="16">
        <f t="shared" ca="1" si="16"/>
        <v>0</v>
      </c>
      <c r="DV4" s="16">
        <f t="shared" ca="1" si="16"/>
        <v>0</v>
      </c>
      <c r="DW4" s="16">
        <f t="shared" ca="1" si="16"/>
        <v>0</v>
      </c>
      <c r="DX4" s="16">
        <f t="shared" ca="1" si="16"/>
        <v>0</v>
      </c>
      <c r="DY4" s="16">
        <f t="shared" ca="1" si="16"/>
        <v>0</v>
      </c>
      <c r="DZ4" s="16">
        <f t="shared" ca="1" si="16"/>
        <v>0</v>
      </c>
      <c r="EA4" s="16">
        <f t="shared" ca="1" si="16"/>
        <v>0</v>
      </c>
      <c r="EB4" s="18">
        <f t="shared" ca="1" si="16"/>
        <v>0</v>
      </c>
      <c r="EC4" s="19">
        <f t="shared" ca="1" si="17"/>
        <v>2</v>
      </c>
      <c r="ED4" s="16">
        <f t="shared" ca="1" si="17"/>
        <v>2</v>
      </c>
      <c r="EE4" s="16">
        <f t="shared" ca="1" si="17"/>
        <v>2</v>
      </c>
      <c r="EF4" s="16">
        <f t="shared" ca="1" si="17"/>
        <v>2</v>
      </c>
      <c r="EG4" s="16">
        <f t="shared" ca="1" si="17"/>
        <v>2</v>
      </c>
      <c r="EH4" s="16">
        <f t="shared" ca="1" si="17"/>
        <v>2</v>
      </c>
      <c r="EI4" s="23">
        <f t="shared" ca="1" si="18"/>
        <v>0</v>
      </c>
      <c r="EJ4" s="17">
        <f t="shared" ca="1" si="18"/>
        <v>0</v>
      </c>
      <c r="EK4" s="17">
        <f t="shared" ca="1" si="18"/>
        <v>0</v>
      </c>
      <c r="EL4" s="17">
        <f t="shared" ca="1" si="18"/>
        <v>0</v>
      </c>
      <c r="EM4" s="17">
        <f t="shared" ca="1" si="18"/>
        <v>0</v>
      </c>
      <c r="EN4" s="17">
        <f t="shared" ca="1" si="18"/>
        <v>0</v>
      </c>
      <c r="EO4" s="24">
        <f t="shared" ca="1" si="18"/>
        <v>0</v>
      </c>
      <c r="EP4" s="16">
        <f t="shared" ca="1" si="19"/>
        <v>0</v>
      </c>
      <c r="EQ4" s="16">
        <f t="shared" ca="1" si="19"/>
        <v>0</v>
      </c>
      <c r="ER4" s="16">
        <f t="shared" ca="1" si="19"/>
        <v>0</v>
      </c>
      <c r="ES4" s="16">
        <f t="shared" ca="1" si="19"/>
        <v>0</v>
      </c>
      <c r="ET4" s="16">
        <f t="shared" ca="1" si="19"/>
        <v>0</v>
      </c>
      <c r="EU4" s="16">
        <f t="shared" ca="1" si="19"/>
        <v>0</v>
      </c>
      <c r="EV4" s="16">
        <f t="shared" ca="1" si="19"/>
        <v>0</v>
      </c>
      <c r="EW4" s="23">
        <f t="shared" ca="1" si="20"/>
        <v>2</v>
      </c>
      <c r="EX4" s="17">
        <f t="shared" ca="1" si="20"/>
        <v>2</v>
      </c>
      <c r="EY4" s="17">
        <f t="shared" ca="1" si="20"/>
        <v>2</v>
      </c>
      <c r="EZ4" s="17">
        <f t="shared" ca="1" si="20"/>
        <v>2</v>
      </c>
      <c r="FA4" s="17">
        <f t="shared" ca="1" si="20"/>
        <v>2</v>
      </c>
      <c r="FB4" s="17">
        <f t="shared" ca="1" si="20"/>
        <v>2</v>
      </c>
      <c r="FC4" s="24">
        <f t="shared" ca="1" si="20"/>
        <v>2</v>
      </c>
      <c r="FD4" s="16">
        <f t="shared" ca="1" si="21"/>
        <v>0</v>
      </c>
      <c r="FE4" s="16">
        <f t="shared" ca="1" si="21"/>
        <v>0</v>
      </c>
      <c r="FF4" s="16">
        <f t="shared" ca="1" si="21"/>
        <v>0</v>
      </c>
      <c r="FG4" s="16">
        <f t="shared" ca="1" si="21"/>
        <v>0</v>
      </c>
      <c r="FH4" s="16">
        <f t="shared" ca="1" si="21"/>
        <v>0</v>
      </c>
      <c r="FI4" s="16">
        <f t="shared" ca="1" si="21"/>
        <v>0</v>
      </c>
      <c r="FJ4" s="16">
        <f t="shared" ca="1" si="21"/>
        <v>0</v>
      </c>
      <c r="FK4" s="23">
        <f t="shared" ca="1" si="22"/>
        <v>0</v>
      </c>
      <c r="FL4" s="17">
        <f t="shared" ca="1" si="22"/>
        <v>0</v>
      </c>
      <c r="FM4" s="17">
        <f t="shared" ca="1" si="22"/>
        <v>0</v>
      </c>
      <c r="FN4" s="17">
        <f t="shared" ca="1" si="22"/>
        <v>0</v>
      </c>
      <c r="FO4" s="17">
        <f t="shared" ca="1" si="22"/>
        <v>0</v>
      </c>
      <c r="FP4" s="17">
        <f t="shared" ca="1" si="22"/>
        <v>0</v>
      </c>
      <c r="FQ4" s="24">
        <f t="shared" ca="1" si="22"/>
        <v>0</v>
      </c>
      <c r="FR4" s="16">
        <f t="shared" ca="1" si="23"/>
        <v>2</v>
      </c>
      <c r="FS4" s="16">
        <f t="shared" ca="1" si="23"/>
        <v>2</v>
      </c>
      <c r="FT4" s="16">
        <f t="shared" ca="1" si="23"/>
        <v>2</v>
      </c>
      <c r="FU4" s="16">
        <f t="shared" ca="1" si="23"/>
        <v>2</v>
      </c>
      <c r="FV4" s="16">
        <f t="shared" ca="1" si="23"/>
        <v>2</v>
      </c>
      <c r="FW4" s="16">
        <f t="shared" ca="1" si="23"/>
        <v>2</v>
      </c>
      <c r="FX4" s="18">
        <f t="shared" ca="1" si="23"/>
        <v>2</v>
      </c>
      <c r="FY4" s="19">
        <f t="shared" ca="1" si="24"/>
        <v>0</v>
      </c>
      <c r="FZ4" s="16">
        <f t="shared" ca="1" si="24"/>
        <v>0</v>
      </c>
      <c r="GA4" s="16">
        <f t="shared" ca="1" si="24"/>
        <v>0</v>
      </c>
      <c r="GB4" s="16">
        <f t="shared" ca="1" si="24"/>
        <v>0</v>
      </c>
      <c r="GC4" s="16">
        <f t="shared" ca="1" si="24"/>
        <v>0</v>
      </c>
      <c r="GD4" s="16">
        <f t="shared" ca="1" si="24"/>
        <v>0</v>
      </c>
      <c r="GE4" s="16">
        <f t="shared" ca="1" si="24"/>
        <v>0</v>
      </c>
      <c r="GF4" s="23">
        <f t="shared" ca="1" si="25"/>
        <v>0</v>
      </c>
      <c r="GG4" s="17">
        <f t="shared" ca="1" si="25"/>
        <v>0</v>
      </c>
      <c r="GH4" s="17">
        <f t="shared" ca="1" si="25"/>
        <v>0</v>
      </c>
      <c r="GI4" s="17">
        <f t="shared" ca="1" si="25"/>
        <v>0</v>
      </c>
      <c r="GJ4" s="17">
        <f t="shared" ca="1" si="25"/>
        <v>0</v>
      </c>
      <c r="GK4" s="17">
        <f t="shared" ca="1" si="25"/>
        <v>0</v>
      </c>
      <c r="GL4" s="24">
        <f t="shared" ca="1" si="25"/>
        <v>0</v>
      </c>
      <c r="GM4" s="16">
        <f t="shared" ca="1" si="26"/>
        <v>0</v>
      </c>
      <c r="GN4" s="16">
        <f t="shared" ca="1" si="26"/>
        <v>0</v>
      </c>
      <c r="GO4" s="16">
        <f t="shared" ca="1" si="26"/>
        <v>0</v>
      </c>
      <c r="GP4" s="16">
        <f t="shared" ca="1" si="26"/>
        <v>0</v>
      </c>
      <c r="GQ4" s="16">
        <f t="shared" ca="1" si="26"/>
        <v>0</v>
      </c>
      <c r="GR4" s="16">
        <f t="shared" ca="1" si="26"/>
        <v>0</v>
      </c>
      <c r="GS4" s="16">
        <f t="shared" ca="1" si="26"/>
        <v>0</v>
      </c>
      <c r="GT4" s="23">
        <f t="shared" ca="1" si="27"/>
        <v>2</v>
      </c>
      <c r="GU4" s="17">
        <f t="shared" ca="1" si="27"/>
        <v>2</v>
      </c>
      <c r="GV4" s="17">
        <f t="shared" ca="1" si="27"/>
        <v>2</v>
      </c>
      <c r="GW4" s="17">
        <f t="shared" ca="1" si="27"/>
        <v>2</v>
      </c>
      <c r="GX4" s="17">
        <f t="shared" ca="1" si="27"/>
        <v>2</v>
      </c>
      <c r="GY4" s="17">
        <f t="shared" ca="1" si="27"/>
        <v>2</v>
      </c>
      <c r="GZ4" s="24">
        <f t="shared" ca="1" si="27"/>
        <v>2</v>
      </c>
      <c r="HA4" s="16">
        <f t="shared" ca="1" si="28"/>
        <v>0</v>
      </c>
      <c r="HB4" s="16">
        <f t="shared" ca="1" si="28"/>
        <v>0</v>
      </c>
      <c r="HC4" s="16">
        <f t="shared" ca="1" si="28"/>
        <v>0</v>
      </c>
      <c r="HD4" s="16">
        <f t="shared" ca="1" si="28"/>
        <v>0</v>
      </c>
      <c r="HE4" s="16">
        <f t="shared" ca="1" si="28"/>
        <v>0</v>
      </c>
      <c r="HF4" s="16">
        <f t="shared" ca="1" si="28"/>
        <v>0</v>
      </c>
      <c r="HG4" s="16">
        <f t="shared" ca="1" si="28"/>
        <v>0</v>
      </c>
      <c r="HH4" s="18">
        <f t="shared" ca="1" si="28"/>
        <v>0</v>
      </c>
      <c r="HI4" s="19">
        <f t="shared" ca="1" si="29"/>
        <v>2</v>
      </c>
      <c r="HJ4" s="16">
        <f t="shared" ca="1" si="29"/>
        <v>2</v>
      </c>
      <c r="HK4" s="16">
        <f t="shared" ca="1" si="29"/>
        <v>2</v>
      </c>
      <c r="HL4" s="16">
        <f t="shared" ca="1" si="29"/>
        <v>2</v>
      </c>
      <c r="HM4" s="16">
        <f t="shared" ca="1" si="29"/>
        <v>2</v>
      </c>
      <c r="HN4" s="16">
        <f t="shared" ca="1" si="29"/>
        <v>2</v>
      </c>
      <c r="HO4" s="23">
        <f t="shared" ca="1" si="30"/>
        <v>0</v>
      </c>
      <c r="HP4" s="17">
        <f t="shared" ca="1" si="30"/>
        <v>0</v>
      </c>
      <c r="HQ4" s="17">
        <f t="shared" ca="1" si="30"/>
        <v>0</v>
      </c>
      <c r="HR4" s="17">
        <f t="shared" ca="1" si="30"/>
        <v>0</v>
      </c>
      <c r="HS4" s="17">
        <f t="shared" ca="1" si="30"/>
        <v>0</v>
      </c>
      <c r="HT4" s="17">
        <f t="shared" ca="1" si="30"/>
        <v>0</v>
      </c>
      <c r="HU4" s="24">
        <f t="shared" ca="1" si="30"/>
        <v>0</v>
      </c>
      <c r="HV4" s="16">
        <f t="shared" ca="1" si="31"/>
        <v>0</v>
      </c>
      <c r="HW4" s="16">
        <f t="shared" ca="1" si="31"/>
        <v>0</v>
      </c>
      <c r="HX4" s="16">
        <f t="shared" ca="1" si="31"/>
        <v>0</v>
      </c>
      <c r="HY4" s="16">
        <f t="shared" ca="1" si="31"/>
        <v>0</v>
      </c>
      <c r="HZ4" s="16">
        <f t="shared" ca="1" si="31"/>
        <v>0</v>
      </c>
      <c r="IA4" s="16">
        <f t="shared" ca="1" si="31"/>
        <v>0</v>
      </c>
      <c r="IB4" s="16">
        <f t="shared" ca="1" si="31"/>
        <v>0</v>
      </c>
      <c r="IC4" s="23">
        <f t="shared" ca="1" si="32"/>
        <v>2</v>
      </c>
      <c r="ID4" s="17">
        <f t="shared" ca="1" si="32"/>
        <v>2</v>
      </c>
      <c r="IE4" s="17">
        <f t="shared" ca="1" si="32"/>
        <v>2</v>
      </c>
      <c r="IF4" s="17">
        <f t="shared" ca="1" si="32"/>
        <v>2</v>
      </c>
      <c r="IG4" s="17">
        <f t="shared" ca="1" si="32"/>
        <v>2</v>
      </c>
      <c r="IH4" s="17">
        <f t="shared" ca="1" si="32"/>
        <v>2</v>
      </c>
      <c r="II4" s="24">
        <f t="shared" ca="1" si="32"/>
        <v>2</v>
      </c>
      <c r="IJ4" s="16">
        <f t="shared" ca="1" si="33"/>
        <v>0</v>
      </c>
      <c r="IK4" s="16">
        <f t="shared" ca="1" si="33"/>
        <v>0</v>
      </c>
      <c r="IL4" s="16">
        <f t="shared" ca="1" si="33"/>
        <v>0</v>
      </c>
      <c r="IM4" s="16">
        <f t="shared" ca="1" si="33"/>
        <v>0</v>
      </c>
      <c r="IN4" s="16">
        <f t="shared" ca="1" si="33"/>
        <v>0</v>
      </c>
      <c r="IO4" s="16">
        <f t="shared" ca="1" si="33"/>
        <v>0</v>
      </c>
      <c r="IP4" s="16">
        <f t="shared" ca="1" si="33"/>
        <v>0</v>
      </c>
      <c r="IQ4" s="23">
        <f t="shared" ca="1" si="34"/>
        <v>0</v>
      </c>
      <c r="IR4" s="17">
        <f t="shared" ca="1" si="34"/>
        <v>0</v>
      </c>
      <c r="IS4" s="17">
        <f t="shared" ca="1" si="34"/>
        <v>0</v>
      </c>
      <c r="IT4" s="17">
        <f t="shared" ca="1" si="34"/>
        <v>0</v>
      </c>
      <c r="IU4" s="17">
        <f t="shared" ca="1" si="34"/>
        <v>0</v>
      </c>
      <c r="IV4" s="17">
        <f t="shared" ca="1" si="34"/>
        <v>0</v>
      </c>
      <c r="IW4" s="24">
        <f t="shared" ca="1" si="34"/>
        <v>0</v>
      </c>
      <c r="IX4" s="16">
        <f t="shared" ca="1" si="35"/>
        <v>2</v>
      </c>
      <c r="IY4" s="16">
        <f t="shared" ca="1" si="35"/>
        <v>2</v>
      </c>
      <c r="IZ4" s="16">
        <f t="shared" ca="1" si="35"/>
        <v>2</v>
      </c>
      <c r="JA4" s="16">
        <f t="shared" ca="1" si="35"/>
        <v>2</v>
      </c>
      <c r="JB4" s="16">
        <f t="shared" ca="1" si="35"/>
        <v>2</v>
      </c>
      <c r="JC4" s="16">
        <f t="shared" ca="1" si="35"/>
        <v>2</v>
      </c>
      <c r="JD4" s="18">
        <f t="shared" ca="1" si="35"/>
        <v>2</v>
      </c>
    </row>
    <row r="5" spans="1:264" x14ac:dyDescent="0.4">
      <c r="A5" s="2"/>
      <c r="B5" s="2"/>
      <c r="C5" s="2"/>
      <c r="D5" s="2">
        <f ca="1"/>
        <v>-1</v>
      </c>
      <c r="E5" s="2">
        <f ca="1"/>
        <v>5</v>
      </c>
      <c r="F5" s="2">
        <f ca="1"/>
        <v>11</v>
      </c>
      <c r="G5" s="2">
        <f ca="1"/>
        <v>10</v>
      </c>
      <c r="H5" s="14" t="s">
        <v>327</v>
      </c>
      <c r="I5" s="7">
        <f ca="1"/>
        <v>0</v>
      </c>
      <c r="J5" s="2">
        <f ca="1"/>
        <v>1</v>
      </c>
      <c r="M5" s="19">
        <f t="shared" ca="1" si="0"/>
        <v>0</v>
      </c>
      <c r="N5" s="16">
        <f t="shared" ca="1" si="0"/>
        <v>0</v>
      </c>
      <c r="O5" s="16">
        <f t="shared" ca="1" si="0"/>
        <v>0</v>
      </c>
      <c r="P5" s="16">
        <f t="shared" ca="1" si="0"/>
        <v>0</v>
      </c>
      <c r="Q5" s="16">
        <f t="shared" ca="1" si="0"/>
        <v>0</v>
      </c>
      <c r="R5" s="16">
        <f t="shared" ca="1" si="0"/>
        <v>0</v>
      </c>
      <c r="S5" s="18">
        <f t="shared" ca="1" si="0"/>
        <v>0</v>
      </c>
      <c r="T5" s="23">
        <f t="shared" ca="1" si="1"/>
        <v>0</v>
      </c>
      <c r="U5" s="17">
        <f t="shared" ca="1" si="1"/>
        <v>0</v>
      </c>
      <c r="V5" s="17">
        <f t="shared" ca="1" si="1"/>
        <v>0</v>
      </c>
      <c r="W5" s="17">
        <f t="shared" ca="1" si="1"/>
        <v>0</v>
      </c>
      <c r="X5" s="17">
        <f t="shared" ca="1" si="1"/>
        <v>0</v>
      </c>
      <c r="Y5" s="17">
        <f t="shared" ca="1" si="1"/>
        <v>0</v>
      </c>
      <c r="Z5" s="24">
        <f t="shared" ca="1" si="1"/>
        <v>0</v>
      </c>
      <c r="AA5" s="16">
        <f t="shared" ca="1" si="2"/>
        <v>0</v>
      </c>
      <c r="AB5" s="16">
        <f t="shared" ca="1" si="2"/>
        <v>0</v>
      </c>
      <c r="AC5" s="16">
        <f t="shared" ca="1" si="2"/>
        <v>0</v>
      </c>
      <c r="AD5" s="16">
        <f t="shared" ca="1" si="2"/>
        <v>0</v>
      </c>
      <c r="AE5" s="16">
        <f t="shared" ca="1" si="2"/>
        <v>0</v>
      </c>
      <c r="AF5" s="16">
        <f t="shared" ca="1" si="2"/>
        <v>0</v>
      </c>
      <c r="AG5" s="18">
        <f t="shared" ca="1" si="2"/>
        <v>0</v>
      </c>
      <c r="AH5" s="23">
        <f t="shared" ca="1" si="3"/>
        <v>2</v>
      </c>
      <c r="AI5" s="17">
        <f t="shared" ca="1" si="3"/>
        <v>2</v>
      </c>
      <c r="AJ5" s="17">
        <f t="shared" ca="1" si="3"/>
        <v>2</v>
      </c>
      <c r="AK5" s="17">
        <f t="shared" ca="1" si="3"/>
        <v>2</v>
      </c>
      <c r="AL5" s="17">
        <f t="shared" ca="1" si="3"/>
        <v>2</v>
      </c>
      <c r="AM5" s="17">
        <f t="shared" ca="1" si="3"/>
        <v>2</v>
      </c>
      <c r="AN5" s="24">
        <f t="shared" ca="1" si="3"/>
        <v>2</v>
      </c>
      <c r="AO5" s="19">
        <f t="shared" ca="1" si="4"/>
        <v>0</v>
      </c>
      <c r="AP5" s="16">
        <f t="shared" ca="1" si="4"/>
        <v>0</v>
      </c>
      <c r="AQ5" s="16">
        <f t="shared" ca="1" si="4"/>
        <v>0</v>
      </c>
      <c r="AR5" s="16">
        <f t="shared" ca="1" si="4"/>
        <v>0</v>
      </c>
      <c r="AS5" s="16">
        <f t="shared" ca="1" si="4"/>
        <v>0</v>
      </c>
      <c r="AT5" s="16">
        <f t="shared" ca="1" si="4"/>
        <v>0</v>
      </c>
      <c r="AU5" s="16">
        <f t="shared" ca="1" si="4"/>
        <v>0</v>
      </c>
      <c r="AV5" s="18">
        <f t="shared" ca="1" si="4"/>
        <v>0</v>
      </c>
      <c r="AW5" s="19">
        <f t="shared" ca="1" si="5"/>
        <v>2</v>
      </c>
      <c r="AX5" s="16">
        <f t="shared" ca="1" si="5"/>
        <v>2</v>
      </c>
      <c r="AY5" s="16">
        <f t="shared" ca="1" si="5"/>
        <v>2</v>
      </c>
      <c r="AZ5" s="16">
        <f t="shared" ca="1" si="5"/>
        <v>2</v>
      </c>
      <c r="BA5" s="16">
        <f t="shared" ca="1" si="5"/>
        <v>2</v>
      </c>
      <c r="BB5" s="16">
        <f t="shared" ca="1" si="5"/>
        <v>2</v>
      </c>
      <c r="BC5" s="23">
        <f t="shared" ca="1" si="6"/>
        <v>0</v>
      </c>
      <c r="BD5" s="17">
        <f t="shared" ca="1" si="6"/>
        <v>0</v>
      </c>
      <c r="BE5" s="17">
        <f t="shared" ca="1" si="6"/>
        <v>0</v>
      </c>
      <c r="BF5" s="17">
        <f t="shared" ca="1" si="6"/>
        <v>0</v>
      </c>
      <c r="BG5" s="17">
        <f t="shared" ca="1" si="6"/>
        <v>0</v>
      </c>
      <c r="BH5" s="17">
        <f t="shared" ca="1" si="6"/>
        <v>0</v>
      </c>
      <c r="BI5" s="24">
        <f t="shared" ca="1" si="6"/>
        <v>0</v>
      </c>
      <c r="BJ5" s="16">
        <f t="shared" ca="1" si="7"/>
        <v>0</v>
      </c>
      <c r="BK5" s="16">
        <f t="shared" ca="1" si="7"/>
        <v>0</v>
      </c>
      <c r="BL5" s="16">
        <f t="shared" ca="1" si="7"/>
        <v>0</v>
      </c>
      <c r="BM5" s="16">
        <f t="shared" ca="1" si="7"/>
        <v>0</v>
      </c>
      <c r="BN5" s="16">
        <f t="shared" ca="1" si="7"/>
        <v>0</v>
      </c>
      <c r="BO5" s="16">
        <f t="shared" ca="1" si="7"/>
        <v>0</v>
      </c>
      <c r="BP5" s="16">
        <f t="shared" ca="1" si="7"/>
        <v>0</v>
      </c>
      <c r="BQ5" s="23">
        <f t="shared" ca="1" si="8"/>
        <v>2</v>
      </c>
      <c r="BR5" s="17">
        <f t="shared" ca="1" si="8"/>
        <v>2</v>
      </c>
      <c r="BS5" s="17">
        <f t="shared" ca="1" si="8"/>
        <v>2</v>
      </c>
      <c r="BT5" s="17">
        <f t="shared" ca="1" si="8"/>
        <v>2</v>
      </c>
      <c r="BU5" s="17">
        <f t="shared" ca="1" si="8"/>
        <v>2</v>
      </c>
      <c r="BV5" s="17">
        <f t="shared" ca="1" si="8"/>
        <v>2</v>
      </c>
      <c r="BW5" s="24">
        <f t="shared" ca="1" si="8"/>
        <v>2</v>
      </c>
      <c r="BX5" s="16">
        <f t="shared" ca="1" si="9"/>
        <v>0</v>
      </c>
      <c r="BY5" s="16">
        <f t="shared" ca="1" si="9"/>
        <v>0</v>
      </c>
      <c r="BZ5" s="16">
        <f t="shared" ca="1" si="9"/>
        <v>0</v>
      </c>
      <c r="CA5" s="16">
        <f t="shared" ca="1" si="9"/>
        <v>0</v>
      </c>
      <c r="CB5" s="16">
        <f t="shared" ca="1" si="9"/>
        <v>0</v>
      </c>
      <c r="CC5" s="16">
        <f t="shared" ca="1" si="9"/>
        <v>0</v>
      </c>
      <c r="CD5" s="16">
        <f t="shared" ca="1" si="9"/>
        <v>0</v>
      </c>
      <c r="CE5" s="23">
        <f t="shared" ca="1" si="10"/>
        <v>0</v>
      </c>
      <c r="CF5" s="17">
        <f t="shared" ca="1" si="10"/>
        <v>0</v>
      </c>
      <c r="CG5" s="17">
        <f t="shared" ca="1" si="10"/>
        <v>0</v>
      </c>
      <c r="CH5" s="17">
        <f t="shared" ca="1" si="10"/>
        <v>0</v>
      </c>
      <c r="CI5" s="17">
        <f t="shared" ca="1" si="10"/>
        <v>0</v>
      </c>
      <c r="CJ5" s="17">
        <f t="shared" ca="1" si="10"/>
        <v>0</v>
      </c>
      <c r="CK5" s="24">
        <f t="shared" ca="1" si="10"/>
        <v>0</v>
      </c>
      <c r="CL5" s="16">
        <f t="shared" ca="1" si="11"/>
        <v>2</v>
      </c>
      <c r="CM5" s="16">
        <f t="shared" ca="1" si="11"/>
        <v>2</v>
      </c>
      <c r="CN5" s="16">
        <f t="shared" ca="1" si="11"/>
        <v>2</v>
      </c>
      <c r="CO5" s="16">
        <f t="shared" ca="1" si="11"/>
        <v>2</v>
      </c>
      <c r="CP5" s="16">
        <f t="shared" ca="1" si="11"/>
        <v>2</v>
      </c>
      <c r="CQ5" s="16">
        <f t="shared" ca="1" si="11"/>
        <v>2</v>
      </c>
      <c r="CR5" s="18">
        <f t="shared" ca="1" si="11"/>
        <v>2</v>
      </c>
      <c r="CS5" s="19">
        <f t="shared" ca="1" si="12"/>
        <v>0</v>
      </c>
      <c r="CT5" s="16">
        <f t="shared" ca="1" si="12"/>
        <v>0</v>
      </c>
      <c r="CU5" s="16">
        <f t="shared" ca="1" si="12"/>
        <v>0</v>
      </c>
      <c r="CV5" s="16">
        <f t="shared" ca="1" si="12"/>
        <v>0</v>
      </c>
      <c r="CW5" s="16">
        <f t="shared" ca="1" si="12"/>
        <v>0</v>
      </c>
      <c r="CX5" s="16">
        <f t="shared" ca="1" si="12"/>
        <v>0</v>
      </c>
      <c r="CY5" s="16">
        <f t="shared" ca="1" si="12"/>
        <v>0</v>
      </c>
      <c r="CZ5" s="23">
        <f t="shared" ca="1" si="13"/>
        <v>0</v>
      </c>
      <c r="DA5" s="17">
        <f t="shared" ca="1" si="13"/>
        <v>0</v>
      </c>
      <c r="DB5" s="17">
        <f t="shared" ca="1" si="13"/>
        <v>0</v>
      </c>
      <c r="DC5" s="17">
        <f t="shared" ca="1" si="13"/>
        <v>0</v>
      </c>
      <c r="DD5" s="17">
        <f t="shared" ca="1" si="13"/>
        <v>0</v>
      </c>
      <c r="DE5" s="17">
        <f t="shared" ca="1" si="13"/>
        <v>0</v>
      </c>
      <c r="DF5" s="24">
        <f t="shared" ca="1" si="13"/>
        <v>0</v>
      </c>
      <c r="DG5" s="16">
        <f t="shared" ca="1" si="14"/>
        <v>0</v>
      </c>
      <c r="DH5" s="16">
        <f t="shared" ca="1" si="14"/>
        <v>0</v>
      </c>
      <c r="DI5" s="16">
        <f t="shared" ca="1" si="14"/>
        <v>0</v>
      </c>
      <c r="DJ5" s="16">
        <f t="shared" ca="1" si="14"/>
        <v>0</v>
      </c>
      <c r="DK5" s="16">
        <f t="shared" ca="1" si="14"/>
        <v>0</v>
      </c>
      <c r="DL5" s="16">
        <f t="shared" ca="1" si="14"/>
        <v>0</v>
      </c>
      <c r="DM5" s="16">
        <f t="shared" ca="1" si="14"/>
        <v>0</v>
      </c>
      <c r="DN5" s="23">
        <f t="shared" ca="1" si="15"/>
        <v>2</v>
      </c>
      <c r="DO5" s="17">
        <f t="shared" ca="1" si="15"/>
        <v>2</v>
      </c>
      <c r="DP5" s="17">
        <f t="shared" ca="1" si="15"/>
        <v>2</v>
      </c>
      <c r="DQ5" s="17">
        <f t="shared" ca="1" si="15"/>
        <v>2</v>
      </c>
      <c r="DR5" s="17">
        <f t="shared" ca="1" si="15"/>
        <v>2</v>
      </c>
      <c r="DS5" s="17">
        <f t="shared" ca="1" si="15"/>
        <v>2</v>
      </c>
      <c r="DT5" s="24">
        <f t="shared" ca="1" si="15"/>
        <v>2</v>
      </c>
      <c r="DU5" s="16">
        <f t="shared" ca="1" si="16"/>
        <v>0</v>
      </c>
      <c r="DV5" s="16">
        <f t="shared" ca="1" si="16"/>
        <v>0</v>
      </c>
      <c r="DW5" s="16">
        <f t="shared" ca="1" si="16"/>
        <v>0</v>
      </c>
      <c r="DX5" s="16">
        <f t="shared" ca="1" si="16"/>
        <v>0</v>
      </c>
      <c r="DY5" s="16">
        <f t="shared" ca="1" si="16"/>
        <v>0</v>
      </c>
      <c r="DZ5" s="16">
        <f t="shared" ca="1" si="16"/>
        <v>0</v>
      </c>
      <c r="EA5" s="16">
        <f t="shared" ca="1" si="16"/>
        <v>0</v>
      </c>
      <c r="EB5" s="18">
        <f t="shared" ca="1" si="16"/>
        <v>0</v>
      </c>
      <c r="EC5" s="19">
        <f t="shared" ca="1" si="17"/>
        <v>2</v>
      </c>
      <c r="ED5" s="16">
        <f t="shared" ca="1" si="17"/>
        <v>2</v>
      </c>
      <c r="EE5" s="16">
        <f t="shared" ca="1" si="17"/>
        <v>2</v>
      </c>
      <c r="EF5" s="16">
        <f t="shared" ca="1" si="17"/>
        <v>2</v>
      </c>
      <c r="EG5" s="16">
        <f t="shared" ca="1" si="17"/>
        <v>2</v>
      </c>
      <c r="EH5" s="16">
        <f t="shared" ca="1" si="17"/>
        <v>2</v>
      </c>
      <c r="EI5" s="23">
        <f t="shared" ca="1" si="18"/>
        <v>0</v>
      </c>
      <c r="EJ5" s="17">
        <f t="shared" ca="1" si="18"/>
        <v>0</v>
      </c>
      <c r="EK5" s="17">
        <f t="shared" ca="1" si="18"/>
        <v>0</v>
      </c>
      <c r="EL5" s="17">
        <f t="shared" ca="1" si="18"/>
        <v>0</v>
      </c>
      <c r="EM5" s="17">
        <f t="shared" ca="1" si="18"/>
        <v>0</v>
      </c>
      <c r="EN5" s="17">
        <f t="shared" ca="1" si="18"/>
        <v>0</v>
      </c>
      <c r="EO5" s="24">
        <f t="shared" ca="1" si="18"/>
        <v>0</v>
      </c>
      <c r="EP5" s="16">
        <f t="shared" ca="1" si="19"/>
        <v>0</v>
      </c>
      <c r="EQ5" s="16">
        <f t="shared" ca="1" si="19"/>
        <v>0</v>
      </c>
      <c r="ER5" s="16">
        <f t="shared" ca="1" si="19"/>
        <v>0</v>
      </c>
      <c r="ES5" s="16">
        <f t="shared" ca="1" si="19"/>
        <v>0</v>
      </c>
      <c r="ET5" s="16">
        <f t="shared" ca="1" si="19"/>
        <v>0</v>
      </c>
      <c r="EU5" s="16">
        <f t="shared" ca="1" si="19"/>
        <v>0</v>
      </c>
      <c r="EV5" s="16">
        <f t="shared" ca="1" si="19"/>
        <v>0</v>
      </c>
      <c r="EW5" s="23">
        <f t="shared" ca="1" si="20"/>
        <v>2</v>
      </c>
      <c r="EX5" s="17">
        <f t="shared" ca="1" si="20"/>
        <v>2</v>
      </c>
      <c r="EY5" s="17">
        <f t="shared" ca="1" si="20"/>
        <v>2</v>
      </c>
      <c r="EZ5" s="17">
        <f t="shared" ca="1" si="20"/>
        <v>2</v>
      </c>
      <c r="FA5" s="17">
        <f t="shared" ca="1" si="20"/>
        <v>2</v>
      </c>
      <c r="FB5" s="17">
        <f t="shared" ca="1" si="20"/>
        <v>2</v>
      </c>
      <c r="FC5" s="24">
        <f t="shared" ca="1" si="20"/>
        <v>2</v>
      </c>
      <c r="FD5" s="16">
        <f t="shared" ca="1" si="21"/>
        <v>0</v>
      </c>
      <c r="FE5" s="16">
        <f t="shared" ca="1" si="21"/>
        <v>0</v>
      </c>
      <c r="FF5" s="16">
        <f t="shared" ca="1" si="21"/>
        <v>0</v>
      </c>
      <c r="FG5" s="16">
        <f t="shared" ca="1" si="21"/>
        <v>0</v>
      </c>
      <c r="FH5" s="16">
        <f t="shared" ca="1" si="21"/>
        <v>0</v>
      </c>
      <c r="FI5" s="16">
        <f t="shared" ca="1" si="21"/>
        <v>0</v>
      </c>
      <c r="FJ5" s="16">
        <f t="shared" ca="1" si="21"/>
        <v>0</v>
      </c>
      <c r="FK5" s="23">
        <f t="shared" ca="1" si="22"/>
        <v>0</v>
      </c>
      <c r="FL5" s="17">
        <f t="shared" ca="1" si="22"/>
        <v>0</v>
      </c>
      <c r="FM5" s="17">
        <f t="shared" ca="1" si="22"/>
        <v>0</v>
      </c>
      <c r="FN5" s="17">
        <f t="shared" ca="1" si="22"/>
        <v>0</v>
      </c>
      <c r="FO5" s="17">
        <f t="shared" ca="1" si="22"/>
        <v>0</v>
      </c>
      <c r="FP5" s="17">
        <f t="shared" ca="1" si="22"/>
        <v>0</v>
      </c>
      <c r="FQ5" s="24">
        <f t="shared" ca="1" si="22"/>
        <v>0</v>
      </c>
      <c r="FR5" s="16">
        <f t="shared" ca="1" si="23"/>
        <v>2</v>
      </c>
      <c r="FS5" s="16">
        <f t="shared" ca="1" si="23"/>
        <v>2</v>
      </c>
      <c r="FT5" s="16">
        <f t="shared" ca="1" si="23"/>
        <v>2</v>
      </c>
      <c r="FU5" s="16">
        <f t="shared" ca="1" si="23"/>
        <v>2</v>
      </c>
      <c r="FV5" s="16">
        <f t="shared" ca="1" si="23"/>
        <v>2</v>
      </c>
      <c r="FW5" s="16">
        <f t="shared" ca="1" si="23"/>
        <v>2</v>
      </c>
      <c r="FX5" s="18">
        <f t="shared" ca="1" si="23"/>
        <v>2</v>
      </c>
      <c r="FY5" s="19">
        <f t="shared" ca="1" si="24"/>
        <v>0</v>
      </c>
      <c r="FZ5" s="16">
        <f t="shared" ca="1" si="24"/>
        <v>0</v>
      </c>
      <c r="GA5" s="16">
        <f t="shared" ca="1" si="24"/>
        <v>0</v>
      </c>
      <c r="GB5" s="16">
        <f t="shared" ca="1" si="24"/>
        <v>0</v>
      </c>
      <c r="GC5" s="16">
        <f t="shared" ca="1" si="24"/>
        <v>0</v>
      </c>
      <c r="GD5" s="16">
        <f t="shared" ca="1" si="24"/>
        <v>0</v>
      </c>
      <c r="GE5" s="16">
        <f t="shared" ca="1" si="24"/>
        <v>0</v>
      </c>
      <c r="GF5" s="23">
        <f t="shared" ca="1" si="25"/>
        <v>0</v>
      </c>
      <c r="GG5" s="17">
        <f t="shared" ca="1" si="25"/>
        <v>0</v>
      </c>
      <c r="GH5" s="17">
        <f t="shared" ca="1" si="25"/>
        <v>0</v>
      </c>
      <c r="GI5" s="17">
        <f t="shared" ca="1" si="25"/>
        <v>0</v>
      </c>
      <c r="GJ5" s="17">
        <f t="shared" ca="1" si="25"/>
        <v>0</v>
      </c>
      <c r="GK5" s="17">
        <f t="shared" ca="1" si="25"/>
        <v>0</v>
      </c>
      <c r="GL5" s="24">
        <f t="shared" ca="1" si="25"/>
        <v>0</v>
      </c>
      <c r="GM5" s="16">
        <f t="shared" ca="1" si="26"/>
        <v>0</v>
      </c>
      <c r="GN5" s="16">
        <f t="shared" ca="1" si="26"/>
        <v>0</v>
      </c>
      <c r="GO5" s="16">
        <f t="shared" ca="1" si="26"/>
        <v>0</v>
      </c>
      <c r="GP5" s="16">
        <f t="shared" ca="1" si="26"/>
        <v>0</v>
      </c>
      <c r="GQ5" s="16">
        <f t="shared" ca="1" si="26"/>
        <v>0</v>
      </c>
      <c r="GR5" s="16">
        <f t="shared" ca="1" si="26"/>
        <v>0</v>
      </c>
      <c r="GS5" s="16">
        <f t="shared" ca="1" si="26"/>
        <v>0</v>
      </c>
      <c r="GT5" s="23">
        <f t="shared" ca="1" si="27"/>
        <v>2</v>
      </c>
      <c r="GU5" s="17">
        <f t="shared" ca="1" si="27"/>
        <v>2</v>
      </c>
      <c r="GV5" s="17">
        <f t="shared" ca="1" si="27"/>
        <v>2</v>
      </c>
      <c r="GW5" s="17">
        <f t="shared" ca="1" si="27"/>
        <v>2</v>
      </c>
      <c r="GX5" s="17">
        <f t="shared" ca="1" si="27"/>
        <v>2</v>
      </c>
      <c r="GY5" s="17">
        <f t="shared" ca="1" si="27"/>
        <v>2</v>
      </c>
      <c r="GZ5" s="24">
        <f t="shared" ca="1" si="27"/>
        <v>2</v>
      </c>
      <c r="HA5" s="16">
        <f t="shared" ca="1" si="28"/>
        <v>0</v>
      </c>
      <c r="HB5" s="16">
        <f t="shared" ca="1" si="28"/>
        <v>0</v>
      </c>
      <c r="HC5" s="16">
        <f t="shared" ca="1" si="28"/>
        <v>0</v>
      </c>
      <c r="HD5" s="16">
        <f t="shared" ca="1" si="28"/>
        <v>0</v>
      </c>
      <c r="HE5" s="16">
        <f t="shared" ca="1" si="28"/>
        <v>0</v>
      </c>
      <c r="HF5" s="16">
        <f t="shared" ca="1" si="28"/>
        <v>0</v>
      </c>
      <c r="HG5" s="16">
        <f t="shared" ca="1" si="28"/>
        <v>0</v>
      </c>
      <c r="HH5" s="18">
        <f t="shared" ca="1" si="28"/>
        <v>0</v>
      </c>
      <c r="HI5" s="19">
        <f t="shared" ca="1" si="29"/>
        <v>2</v>
      </c>
      <c r="HJ5" s="16">
        <f t="shared" ca="1" si="29"/>
        <v>2</v>
      </c>
      <c r="HK5" s="16">
        <f t="shared" ca="1" si="29"/>
        <v>2</v>
      </c>
      <c r="HL5" s="16">
        <f t="shared" ca="1" si="29"/>
        <v>2</v>
      </c>
      <c r="HM5" s="16">
        <f t="shared" ca="1" si="29"/>
        <v>2</v>
      </c>
      <c r="HN5" s="16">
        <f t="shared" ca="1" si="29"/>
        <v>2</v>
      </c>
      <c r="HO5" s="23">
        <f t="shared" ca="1" si="30"/>
        <v>0</v>
      </c>
      <c r="HP5" s="17">
        <f t="shared" ca="1" si="30"/>
        <v>0</v>
      </c>
      <c r="HQ5" s="17">
        <f t="shared" ca="1" si="30"/>
        <v>0</v>
      </c>
      <c r="HR5" s="17">
        <f t="shared" ca="1" si="30"/>
        <v>0</v>
      </c>
      <c r="HS5" s="17">
        <f t="shared" ca="1" si="30"/>
        <v>0</v>
      </c>
      <c r="HT5" s="17">
        <f t="shared" ca="1" si="30"/>
        <v>0</v>
      </c>
      <c r="HU5" s="24">
        <f t="shared" ca="1" si="30"/>
        <v>0</v>
      </c>
      <c r="HV5" s="16">
        <f t="shared" ca="1" si="31"/>
        <v>0</v>
      </c>
      <c r="HW5" s="16">
        <f t="shared" ca="1" si="31"/>
        <v>0</v>
      </c>
      <c r="HX5" s="16">
        <f t="shared" ca="1" si="31"/>
        <v>0</v>
      </c>
      <c r="HY5" s="16">
        <f t="shared" ca="1" si="31"/>
        <v>0</v>
      </c>
      <c r="HZ5" s="16">
        <f t="shared" ca="1" si="31"/>
        <v>0</v>
      </c>
      <c r="IA5" s="16">
        <f t="shared" ca="1" si="31"/>
        <v>0</v>
      </c>
      <c r="IB5" s="16">
        <f t="shared" ca="1" si="31"/>
        <v>0</v>
      </c>
      <c r="IC5" s="23">
        <f t="shared" ca="1" si="32"/>
        <v>2</v>
      </c>
      <c r="ID5" s="17">
        <f t="shared" ca="1" si="32"/>
        <v>2</v>
      </c>
      <c r="IE5" s="17">
        <f t="shared" ca="1" si="32"/>
        <v>2</v>
      </c>
      <c r="IF5" s="17">
        <f t="shared" ca="1" si="32"/>
        <v>2</v>
      </c>
      <c r="IG5" s="17">
        <f t="shared" ca="1" si="32"/>
        <v>2</v>
      </c>
      <c r="IH5" s="17">
        <f t="shared" ca="1" si="32"/>
        <v>2</v>
      </c>
      <c r="II5" s="24">
        <f t="shared" ca="1" si="32"/>
        <v>2</v>
      </c>
      <c r="IJ5" s="16">
        <f t="shared" ca="1" si="33"/>
        <v>0</v>
      </c>
      <c r="IK5" s="16">
        <f t="shared" ca="1" si="33"/>
        <v>0</v>
      </c>
      <c r="IL5" s="16">
        <f t="shared" ca="1" si="33"/>
        <v>0</v>
      </c>
      <c r="IM5" s="16">
        <f t="shared" ca="1" si="33"/>
        <v>0</v>
      </c>
      <c r="IN5" s="16">
        <f t="shared" ca="1" si="33"/>
        <v>0</v>
      </c>
      <c r="IO5" s="16">
        <f t="shared" ca="1" si="33"/>
        <v>0</v>
      </c>
      <c r="IP5" s="16">
        <f t="shared" ca="1" si="33"/>
        <v>0</v>
      </c>
      <c r="IQ5" s="23">
        <f t="shared" ca="1" si="34"/>
        <v>0</v>
      </c>
      <c r="IR5" s="17">
        <f t="shared" ca="1" si="34"/>
        <v>0</v>
      </c>
      <c r="IS5" s="17">
        <f t="shared" ca="1" si="34"/>
        <v>0</v>
      </c>
      <c r="IT5" s="17">
        <f t="shared" ca="1" si="34"/>
        <v>0</v>
      </c>
      <c r="IU5" s="17">
        <f t="shared" ca="1" si="34"/>
        <v>0</v>
      </c>
      <c r="IV5" s="17">
        <f t="shared" ca="1" si="34"/>
        <v>0</v>
      </c>
      <c r="IW5" s="24">
        <f t="shared" ca="1" si="34"/>
        <v>0</v>
      </c>
      <c r="IX5" s="16">
        <f t="shared" ca="1" si="35"/>
        <v>2</v>
      </c>
      <c r="IY5" s="16">
        <f t="shared" ca="1" si="35"/>
        <v>2</v>
      </c>
      <c r="IZ5" s="16">
        <f t="shared" ca="1" si="35"/>
        <v>2</v>
      </c>
      <c r="JA5" s="16">
        <f t="shared" ca="1" si="35"/>
        <v>2</v>
      </c>
      <c r="JB5" s="16">
        <f t="shared" ca="1" si="35"/>
        <v>2</v>
      </c>
      <c r="JC5" s="16">
        <f t="shared" ca="1" si="35"/>
        <v>2</v>
      </c>
      <c r="JD5" s="18">
        <f t="shared" ca="1" si="35"/>
        <v>2</v>
      </c>
    </row>
    <row r="6" spans="1:264" x14ac:dyDescent="0.4">
      <c r="A6" s="2"/>
      <c r="B6" s="2"/>
      <c r="C6" s="2"/>
      <c r="D6" s="2"/>
      <c r="E6" s="2"/>
      <c r="F6" s="2">
        <f ca="1"/>
        <v>3</v>
      </c>
      <c r="G6" s="2">
        <f ca="1"/>
        <v>-1</v>
      </c>
      <c r="H6" s="14" t="s">
        <v>324</v>
      </c>
      <c r="I6" s="7">
        <f ca="1"/>
        <v>0</v>
      </c>
      <c r="J6" s="2">
        <f ca="1"/>
        <v>0</v>
      </c>
      <c r="M6" s="19">
        <f t="shared" ca="1" si="0"/>
        <v>0</v>
      </c>
      <c r="N6" s="16">
        <f t="shared" ca="1" si="0"/>
        <v>0</v>
      </c>
      <c r="O6" s="16">
        <f t="shared" ca="1" si="0"/>
        <v>0</v>
      </c>
      <c r="P6" s="16">
        <f t="shared" ca="1" si="0"/>
        <v>0</v>
      </c>
      <c r="Q6" s="16">
        <f t="shared" ca="1" si="0"/>
        <v>0</v>
      </c>
      <c r="R6" s="16">
        <f t="shared" ca="1" si="0"/>
        <v>0</v>
      </c>
      <c r="S6" s="18">
        <f t="shared" ca="1" si="0"/>
        <v>0</v>
      </c>
      <c r="T6" s="23">
        <f t="shared" ca="1" si="1"/>
        <v>0</v>
      </c>
      <c r="U6" s="17">
        <f t="shared" ca="1" si="1"/>
        <v>0</v>
      </c>
      <c r="V6" s="17">
        <f t="shared" ca="1" si="1"/>
        <v>0</v>
      </c>
      <c r="W6" s="17">
        <f t="shared" ca="1" si="1"/>
        <v>0</v>
      </c>
      <c r="X6" s="17">
        <f t="shared" ca="1" si="1"/>
        <v>0</v>
      </c>
      <c r="Y6" s="17">
        <f t="shared" ca="1" si="1"/>
        <v>0</v>
      </c>
      <c r="Z6" s="24">
        <f t="shared" ca="1" si="1"/>
        <v>0</v>
      </c>
      <c r="AA6" s="16">
        <f t="shared" ca="1" si="2"/>
        <v>0</v>
      </c>
      <c r="AB6" s="16">
        <f t="shared" ca="1" si="2"/>
        <v>0</v>
      </c>
      <c r="AC6" s="16">
        <f t="shared" ca="1" si="2"/>
        <v>0</v>
      </c>
      <c r="AD6" s="16">
        <f t="shared" ca="1" si="2"/>
        <v>0</v>
      </c>
      <c r="AE6" s="16">
        <f t="shared" ca="1" si="2"/>
        <v>0</v>
      </c>
      <c r="AF6" s="16">
        <f t="shared" ca="1" si="2"/>
        <v>0</v>
      </c>
      <c r="AG6" s="18">
        <f t="shared" ca="1" si="2"/>
        <v>0</v>
      </c>
      <c r="AH6" s="23">
        <f t="shared" ca="1" si="3"/>
        <v>2</v>
      </c>
      <c r="AI6" s="17">
        <f t="shared" ca="1" si="3"/>
        <v>2</v>
      </c>
      <c r="AJ6" s="17">
        <f t="shared" ca="1" si="3"/>
        <v>2</v>
      </c>
      <c r="AK6" s="17">
        <f t="shared" ca="1" si="3"/>
        <v>2</v>
      </c>
      <c r="AL6" s="17">
        <f t="shared" ca="1" si="3"/>
        <v>2</v>
      </c>
      <c r="AM6" s="17">
        <f t="shared" ca="1" si="3"/>
        <v>2</v>
      </c>
      <c r="AN6" s="24">
        <f t="shared" ca="1" si="3"/>
        <v>2</v>
      </c>
      <c r="AO6" s="19">
        <f t="shared" ca="1" si="4"/>
        <v>0</v>
      </c>
      <c r="AP6" s="16">
        <f t="shared" ca="1" si="4"/>
        <v>0</v>
      </c>
      <c r="AQ6" s="16">
        <f t="shared" ca="1" si="4"/>
        <v>0</v>
      </c>
      <c r="AR6" s="16">
        <f t="shared" ca="1" si="4"/>
        <v>0</v>
      </c>
      <c r="AS6" s="16">
        <f t="shared" ca="1" si="4"/>
        <v>0</v>
      </c>
      <c r="AT6" s="16">
        <f t="shared" ca="1" si="4"/>
        <v>0</v>
      </c>
      <c r="AU6" s="16">
        <f t="shared" ca="1" si="4"/>
        <v>0</v>
      </c>
      <c r="AV6" s="18">
        <f t="shared" ca="1" si="4"/>
        <v>0</v>
      </c>
      <c r="AW6" s="19">
        <f t="shared" ca="1" si="5"/>
        <v>2</v>
      </c>
      <c r="AX6" s="16">
        <f t="shared" ca="1" si="5"/>
        <v>2</v>
      </c>
      <c r="AY6" s="16">
        <f t="shared" ca="1" si="5"/>
        <v>2</v>
      </c>
      <c r="AZ6" s="16">
        <f t="shared" ca="1" si="5"/>
        <v>2</v>
      </c>
      <c r="BA6" s="16">
        <f t="shared" ca="1" si="5"/>
        <v>2</v>
      </c>
      <c r="BB6" s="16">
        <f t="shared" ca="1" si="5"/>
        <v>2</v>
      </c>
      <c r="BC6" s="23">
        <f t="shared" ca="1" si="6"/>
        <v>0</v>
      </c>
      <c r="BD6" s="17">
        <f t="shared" ca="1" si="6"/>
        <v>0</v>
      </c>
      <c r="BE6" s="17">
        <f t="shared" ca="1" si="6"/>
        <v>0</v>
      </c>
      <c r="BF6" s="17">
        <f t="shared" ca="1" si="6"/>
        <v>0</v>
      </c>
      <c r="BG6" s="17">
        <f t="shared" ca="1" si="6"/>
        <v>0</v>
      </c>
      <c r="BH6" s="17">
        <f t="shared" ca="1" si="6"/>
        <v>0</v>
      </c>
      <c r="BI6" s="24">
        <f t="shared" ca="1" si="6"/>
        <v>0</v>
      </c>
      <c r="BJ6" s="16">
        <f t="shared" ca="1" si="7"/>
        <v>0</v>
      </c>
      <c r="BK6" s="16">
        <f t="shared" ca="1" si="7"/>
        <v>0</v>
      </c>
      <c r="BL6" s="16">
        <f t="shared" ca="1" si="7"/>
        <v>0</v>
      </c>
      <c r="BM6" s="16">
        <f t="shared" ca="1" si="7"/>
        <v>0</v>
      </c>
      <c r="BN6" s="16">
        <f t="shared" ca="1" si="7"/>
        <v>0</v>
      </c>
      <c r="BO6" s="16">
        <f t="shared" ca="1" si="7"/>
        <v>0</v>
      </c>
      <c r="BP6" s="16">
        <f t="shared" ca="1" si="7"/>
        <v>0</v>
      </c>
      <c r="BQ6" s="23">
        <f t="shared" ca="1" si="8"/>
        <v>2</v>
      </c>
      <c r="BR6" s="17">
        <f t="shared" ca="1" si="8"/>
        <v>2</v>
      </c>
      <c r="BS6" s="17">
        <f t="shared" ca="1" si="8"/>
        <v>2</v>
      </c>
      <c r="BT6" s="17">
        <f t="shared" ca="1" si="8"/>
        <v>2</v>
      </c>
      <c r="BU6" s="17">
        <f t="shared" ca="1" si="8"/>
        <v>2</v>
      </c>
      <c r="BV6" s="17">
        <f t="shared" ca="1" si="8"/>
        <v>2</v>
      </c>
      <c r="BW6" s="24">
        <f t="shared" ca="1" si="8"/>
        <v>2</v>
      </c>
      <c r="BX6" s="16">
        <f t="shared" ca="1" si="9"/>
        <v>0</v>
      </c>
      <c r="BY6" s="16">
        <f t="shared" ca="1" si="9"/>
        <v>0</v>
      </c>
      <c r="BZ6" s="16">
        <f t="shared" ca="1" si="9"/>
        <v>0</v>
      </c>
      <c r="CA6" s="16">
        <f t="shared" ca="1" si="9"/>
        <v>0</v>
      </c>
      <c r="CB6" s="16">
        <f t="shared" ca="1" si="9"/>
        <v>0</v>
      </c>
      <c r="CC6" s="16">
        <f t="shared" ca="1" si="9"/>
        <v>0</v>
      </c>
      <c r="CD6" s="16">
        <f t="shared" ca="1" si="9"/>
        <v>0</v>
      </c>
      <c r="CE6" s="23">
        <f t="shared" ca="1" si="10"/>
        <v>0</v>
      </c>
      <c r="CF6" s="17">
        <f t="shared" ca="1" si="10"/>
        <v>0</v>
      </c>
      <c r="CG6" s="17">
        <f t="shared" ca="1" si="10"/>
        <v>0</v>
      </c>
      <c r="CH6" s="17">
        <f t="shared" ca="1" si="10"/>
        <v>0</v>
      </c>
      <c r="CI6" s="17">
        <f t="shared" ca="1" si="10"/>
        <v>0</v>
      </c>
      <c r="CJ6" s="17">
        <f t="shared" ca="1" si="10"/>
        <v>0</v>
      </c>
      <c r="CK6" s="24">
        <f t="shared" ca="1" si="10"/>
        <v>0</v>
      </c>
      <c r="CL6" s="16">
        <f t="shared" ca="1" si="11"/>
        <v>2</v>
      </c>
      <c r="CM6" s="16">
        <f t="shared" ca="1" si="11"/>
        <v>2</v>
      </c>
      <c r="CN6" s="16">
        <f t="shared" ca="1" si="11"/>
        <v>2</v>
      </c>
      <c r="CO6" s="16">
        <f t="shared" ca="1" si="11"/>
        <v>2</v>
      </c>
      <c r="CP6" s="16">
        <f t="shared" ca="1" si="11"/>
        <v>2</v>
      </c>
      <c r="CQ6" s="16">
        <f t="shared" ca="1" si="11"/>
        <v>2</v>
      </c>
      <c r="CR6" s="18">
        <f t="shared" ca="1" si="11"/>
        <v>2</v>
      </c>
      <c r="CS6" s="19">
        <f t="shared" ca="1" si="12"/>
        <v>0</v>
      </c>
      <c r="CT6" s="16">
        <f t="shared" ca="1" si="12"/>
        <v>0</v>
      </c>
      <c r="CU6" s="16">
        <f t="shared" ca="1" si="12"/>
        <v>0</v>
      </c>
      <c r="CV6" s="16">
        <f t="shared" ca="1" si="12"/>
        <v>0</v>
      </c>
      <c r="CW6" s="16">
        <f t="shared" ca="1" si="12"/>
        <v>0</v>
      </c>
      <c r="CX6" s="16">
        <f t="shared" ca="1" si="12"/>
        <v>0</v>
      </c>
      <c r="CY6" s="16">
        <f t="shared" ca="1" si="12"/>
        <v>0</v>
      </c>
      <c r="CZ6" s="23">
        <f t="shared" ca="1" si="13"/>
        <v>0</v>
      </c>
      <c r="DA6" s="17">
        <f t="shared" ca="1" si="13"/>
        <v>0</v>
      </c>
      <c r="DB6" s="17">
        <f t="shared" ca="1" si="13"/>
        <v>0</v>
      </c>
      <c r="DC6" s="17">
        <f t="shared" ca="1" si="13"/>
        <v>0</v>
      </c>
      <c r="DD6" s="17">
        <f t="shared" ca="1" si="13"/>
        <v>0</v>
      </c>
      <c r="DE6" s="17">
        <f t="shared" ca="1" si="13"/>
        <v>0</v>
      </c>
      <c r="DF6" s="24">
        <f t="shared" ca="1" si="13"/>
        <v>0</v>
      </c>
      <c r="DG6" s="16">
        <f t="shared" ca="1" si="14"/>
        <v>0</v>
      </c>
      <c r="DH6" s="16">
        <f t="shared" ca="1" si="14"/>
        <v>0</v>
      </c>
      <c r="DI6" s="16">
        <f t="shared" ca="1" si="14"/>
        <v>0</v>
      </c>
      <c r="DJ6" s="16">
        <f t="shared" ca="1" si="14"/>
        <v>0</v>
      </c>
      <c r="DK6" s="16">
        <f t="shared" ca="1" si="14"/>
        <v>0</v>
      </c>
      <c r="DL6" s="16">
        <f t="shared" ca="1" si="14"/>
        <v>0</v>
      </c>
      <c r="DM6" s="16">
        <f t="shared" ca="1" si="14"/>
        <v>0</v>
      </c>
      <c r="DN6" s="23">
        <f t="shared" ca="1" si="15"/>
        <v>2</v>
      </c>
      <c r="DO6" s="17">
        <f t="shared" ca="1" si="15"/>
        <v>2</v>
      </c>
      <c r="DP6" s="17">
        <f t="shared" ca="1" si="15"/>
        <v>2</v>
      </c>
      <c r="DQ6" s="17">
        <f t="shared" ca="1" si="15"/>
        <v>2</v>
      </c>
      <c r="DR6" s="17">
        <f t="shared" ca="1" si="15"/>
        <v>2</v>
      </c>
      <c r="DS6" s="17">
        <f t="shared" ca="1" si="15"/>
        <v>2</v>
      </c>
      <c r="DT6" s="24">
        <f t="shared" ca="1" si="15"/>
        <v>2</v>
      </c>
      <c r="DU6" s="16">
        <f t="shared" ca="1" si="16"/>
        <v>0</v>
      </c>
      <c r="DV6" s="16">
        <f t="shared" ca="1" si="16"/>
        <v>0</v>
      </c>
      <c r="DW6" s="16">
        <f t="shared" ca="1" si="16"/>
        <v>0</v>
      </c>
      <c r="DX6" s="16">
        <f t="shared" ca="1" si="16"/>
        <v>0</v>
      </c>
      <c r="DY6" s="16">
        <f t="shared" ca="1" si="16"/>
        <v>0</v>
      </c>
      <c r="DZ6" s="16">
        <f t="shared" ca="1" si="16"/>
        <v>0</v>
      </c>
      <c r="EA6" s="16">
        <f t="shared" ca="1" si="16"/>
        <v>0</v>
      </c>
      <c r="EB6" s="18">
        <f t="shared" ca="1" si="16"/>
        <v>0</v>
      </c>
      <c r="EC6" s="19">
        <f t="shared" ca="1" si="17"/>
        <v>2</v>
      </c>
      <c r="ED6" s="16">
        <f t="shared" ca="1" si="17"/>
        <v>2</v>
      </c>
      <c r="EE6" s="16">
        <f t="shared" ca="1" si="17"/>
        <v>2</v>
      </c>
      <c r="EF6" s="16">
        <f t="shared" ca="1" si="17"/>
        <v>2</v>
      </c>
      <c r="EG6" s="16">
        <f t="shared" ca="1" si="17"/>
        <v>2</v>
      </c>
      <c r="EH6" s="16">
        <f t="shared" ca="1" si="17"/>
        <v>2</v>
      </c>
      <c r="EI6" s="23">
        <f t="shared" ca="1" si="18"/>
        <v>0</v>
      </c>
      <c r="EJ6" s="17">
        <f t="shared" ca="1" si="18"/>
        <v>0</v>
      </c>
      <c r="EK6" s="17">
        <f t="shared" ca="1" si="18"/>
        <v>0</v>
      </c>
      <c r="EL6" s="17">
        <f t="shared" ca="1" si="18"/>
        <v>0</v>
      </c>
      <c r="EM6" s="17">
        <f t="shared" ca="1" si="18"/>
        <v>0</v>
      </c>
      <c r="EN6" s="17">
        <f t="shared" ca="1" si="18"/>
        <v>0</v>
      </c>
      <c r="EO6" s="24">
        <f t="shared" ca="1" si="18"/>
        <v>0</v>
      </c>
      <c r="EP6" s="16">
        <f t="shared" ca="1" si="19"/>
        <v>0</v>
      </c>
      <c r="EQ6" s="16">
        <f t="shared" ca="1" si="19"/>
        <v>0</v>
      </c>
      <c r="ER6" s="16">
        <f t="shared" ca="1" si="19"/>
        <v>0</v>
      </c>
      <c r="ES6" s="16">
        <f t="shared" ca="1" si="19"/>
        <v>0</v>
      </c>
      <c r="ET6" s="16">
        <f t="shared" ca="1" si="19"/>
        <v>0</v>
      </c>
      <c r="EU6" s="16">
        <f t="shared" ca="1" si="19"/>
        <v>0</v>
      </c>
      <c r="EV6" s="16">
        <f t="shared" ca="1" si="19"/>
        <v>0</v>
      </c>
      <c r="EW6" s="23">
        <f t="shared" ca="1" si="20"/>
        <v>2</v>
      </c>
      <c r="EX6" s="17">
        <f t="shared" ca="1" si="20"/>
        <v>2</v>
      </c>
      <c r="EY6" s="17">
        <f t="shared" ca="1" si="20"/>
        <v>2</v>
      </c>
      <c r="EZ6" s="17">
        <f t="shared" ca="1" si="20"/>
        <v>2</v>
      </c>
      <c r="FA6" s="17">
        <f t="shared" ca="1" si="20"/>
        <v>2</v>
      </c>
      <c r="FB6" s="17">
        <f t="shared" ca="1" si="20"/>
        <v>2</v>
      </c>
      <c r="FC6" s="24">
        <f t="shared" ca="1" si="20"/>
        <v>2</v>
      </c>
      <c r="FD6" s="16">
        <f t="shared" ca="1" si="21"/>
        <v>0</v>
      </c>
      <c r="FE6" s="16">
        <f t="shared" ca="1" si="21"/>
        <v>0</v>
      </c>
      <c r="FF6" s="16">
        <f t="shared" ca="1" si="21"/>
        <v>0</v>
      </c>
      <c r="FG6" s="16">
        <f t="shared" ca="1" si="21"/>
        <v>0</v>
      </c>
      <c r="FH6" s="16">
        <f t="shared" ca="1" si="21"/>
        <v>0</v>
      </c>
      <c r="FI6" s="16">
        <f t="shared" ca="1" si="21"/>
        <v>0</v>
      </c>
      <c r="FJ6" s="16">
        <f t="shared" ca="1" si="21"/>
        <v>0</v>
      </c>
      <c r="FK6" s="23">
        <f t="shared" ca="1" si="22"/>
        <v>0</v>
      </c>
      <c r="FL6" s="17">
        <f t="shared" ca="1" si="22"/>
        <v>0</v>
      </c>
      <c r="FM6" s="17">
        <f t="shared" ca="1" si="22"/>
        <v>0</v>
      </c>
      <c r="FN6" s="17">
        <f t="shared" ca="1" si="22"/>
        <v>0</v>
      </c>
      <c r="FO6" s="17">
        <f t="shared" ca="1" si="22"/>
        <v>0</v>
      </c>
      <c r="FP6" s="17">
        <f t="shared" ca="1" si="22"/>
        <v>0</v>
      </c>
      <c r="FQ6" s="24">
        <f t="shared" ca="1" si="22"/>
        <v>0</v>
      </c>
      <c r="FR6" s="16">
        <f t="shared" ca="1" si="23"/>
        <v>2</v>
      </c>
      <c r="FS6" s="16">
        <f t="shared" ca="1" si="23"/>
        <v>2</v>
      </c>
      <c r="FT6" s="16">
        <f t="shared" ca="1" si="23"/>
        <v>2</v>
      </c>
      <c r="FU6" s="16">
        <f t="shared" ca="1" si="23"/>
        <v>2</v>
      </c>
      <c r="FV6" s="16">
        <f t="shared" ca="1" si="23"/>
        <v>2</v>
      </c>
      <c r="FW6" s="16">
        <f t="shared" ca="1" si="23"/>
        <v>2</v>
      </c>
      <c r="FX6" s="18">
        <f t="shared" ca="1" si="23"/>
        <v>2</v>
      </c>
      <c r="FY6" s="19">
        <f t="shared" ca="1" si="24"/>
        <v>0</v>
      </c>
      <c r="FZ6" s="16">
        <f t="shared" ca="1" si="24"/>
        <v>0</v>
      </c>
      <c r="GA6" s="16">
        <f t="shared" ca="1" si="24"/>
        <v>0</v>
      </c>
      <c r="GB6" s="16">
        <f t="shared" ca="1" si="24"/>
        <v>0</v>
      </c>
      <c r="GC6" s="16">
        <f t="shared" ca="1" si="24"/>
        <v>0</v>
      </c>
      <c r="GD6" s="16">
        <f t="shared" ca="1" si="24"/>
        <v>0</v>
      </c>
      <c r="GE6" s="16">
        <f t="shared" ca="1" si="24"/>
        <v>0</v>
      </c>
      <c r="GF6" s="23">
        <f t="shared" ca="1" si="25"/>
        <v>0</v>
      </c>
      <c r="GG6" s="17">
        <f t="shared" ca="1" si="25"/>
        <v>0</v>
      </c>
      <c r="GH6" s="17">
        <f t="shared" ca="1" si="25"/>
        <v>0</v>
      </c>
      <c r="GI6" s="17">
        <f t="shared" ca="1" si="25"/>
        <v>0</v>
      </c>
      <c r="GJ6" s="17">
        <f t="shared" ca="1" si="25"/>
        <v>0</v>
      </c>
      <c r="GK6" s="17">
        <f t="shared" ca="1" si="25"/>
        <v>0</v>
      </c>
      <c r="GL6" s="24">
        <f t="shared" ca="1" si="25"/>
        <v>0</v>
      </c>
      <c r="GM6" s="16">
        <f t="shared" ca="1" si="26"/>
        <v>0</v>
      </c>
      <c r="GN6" s="16">
        <f t="shared" ca="1" si="26"/>
        <v>0</v>
      </c>
      <c r="GO6" s="16">
        <f t="shared" ca="1" si="26"/>
        <v>0</v>
      </c>
      <c r="GP6" s="16">
        <f t="shared" ca="1" si="26"/>
        <v>0</v>
      </c>
      <c r="GQ6" s="16">
        <f t="shared" ca="1" si="26"/>
        <v>0</v>
      </c>
      <c r="GR6" s="16">
        <f t="shared" ca="1" si="26"/>
        <v>0</v>
      </c>
      <c r="GS6" s="16">
        <f t="shared" ca="1" si="26"/>
        <v>0</v>
      </c>
      <c r="GT6" s="23">
        <f t="shared" ca="1" si="27"/>
        <v>2</v>
      </c>
      <c r="GU6" s="17">
        <f t="shared" ca="1" si="27"/>
        <v>2</v>
      </c>
      <c r="GV6" s="17">
        <f t="shared" ca="1" si="27"/>
        <v>2</v>
      </c>
      <c r="GW6" s="17">
        <f t="shared" ca="1" si="27"/>
        <v>2</v>
      </c>
      <c r="GX6" s="17">
        <f t="shared" ca="1" si="27"/>
        <v>2</v>
      </c>
      <c r="GY6" s="17">
        <f t="shared" ca="1" si="27"/>
        <v>2</v>
      </c>
      <c r="GZ6" s="24">
        <f t="shared" ca="1" si="27"/>
        <v>2</v>
      </c>
      <c r="HA6" s="16">
        <f t="shared" ca="1" si="28"/>
        <v>0</v>
      </c>
      <c r="HB6" s="16">
        <f t="shared" ca="1" si="28"/>
        <v>0</v>
      </c>
      <c r="HC6" s="16">
        <f t="shared" ca="1" si="28"/>
        <v>0</v>
      </c>
      <c r="HD6" s="16">
        <f t="shared" ca="1" si="28"/>
        <v>0</v>
      </c>
      <c r="HE6" s="16">
        <f t="shared" ca="1" si="28"/>
        <v>0</v>
      </c>
      <c r="HF6" s="16">
        <f t="shared" ca="1" si="28"/>
        <v>0</v>
      </c>
      <c r="HG6" s="16">
        <f t="shared" ca="1" si="28"/>
        <v>0</v>
      </c>
      <c r="HH6" s="18">
        <f t="shared" ca="1" si="28"/>
        <v>0</v>
      </c>
      <c r="HI6" s="19">
        <f t="shared" ca="1" si="29"/>
        <v>2</v>
      </c>
      <c r="HJ6" s="16">
        <f t="shared" ca="1" si="29"/>
        <v>2</v>
      </c>
      <c r="HK6" s="16">
        <f t="shared" ca="1" si="29"/>
        <v>2</v>
      </c>
      <c r="HL6" s="16">
        <f t="shared" ca="1" si="29"/>
        <v>2</v>
      </c>
      <c r="HM6" s="16">
        <f t="shared" ca="1" si="29"/>
        <v>2</v>
      </c>
      <c r="HN6" s="16">
        <f t="shared" ca="1" si="29"/>
        <v>2</v>
      </c>
      <c r="HO6" s="23">
        <f t="shared" ca="1" si="30"/>
        <v>0</v>
      </c>
      <c r="HP6" s="17">
        <f t="shared" ca="1" si="30"/>
        <v>0</v>
      </c>
      <c r="HQ6" s="17">
        <f t="shared" ca="1" si="30"/>
        <v>0</v>
      </c>
      <c r="HR6" s="17">
        <f t="shared" ca="1" si="30"/>
        <v>0</v>
      </c>
      <c r="HS6" s="17">
        <f t="shared" ca="1" si="30"/>
        <v>0</v>
      </c>
      <c r="HT6" s="17">
        <f t="shared" ca="1" si="30"/>
        <v>0</v>
      </c>
      <c r="HU6" s="24">
        <f t="shared" ca="1" si="30"/>
        <v>0</v>
      </c>
      <c r="HV6" s="16">
        <f t="shared" ca="1" si="31"/>
        <v>0</v>
      </c>
      <c r="HW6" s="16">
        <f t="shared" ca="1" si="31"/>
        <v>0</v>
      </c>
      <c r="HX6" s="16">
        <f t="shared" ca="1" si="31"/>
        <v>0</v>
      </c>
      <c r="HY6" s="16">
        <f t="shared" ca="1" si="31"/>
        <v>0</v>
      </c>
      <c r="HZ6" s="16">
        <f t="shared" ca="1" si="31"/>
        <v>0</v>
      </c>
      <c r="IA6" s="16">
        <f t="shared" ca="1" si="31"/>
        <v>0</v>
      </c>
      <c r="IB6" s="16">
        <f t="shared" ca="1" si="31"/>
        <v>0</v>
      </c>
      <c r="IC6" s="23">
        <f t="shared" ca="1" si="32"/>
        <v>2</v>
      </c>
      <c r="ID6" s="17">
        <f t="shared" ca="1" si="32"/>
        <v>2</v>
      </c>
      <c r="IE6" s="17">
        <f t="shared" ca="1" si="32"/>
        <v>2</v>
      </c>
      <c r="IF6" s="17">
        <f t="shared" ca="1" si="32"/>
        <v>2</v>
      </c>
      <c r="IG6" s="17">
        <f t="shared" ca="1" si="32"/>
        <v>2</v>
      </c>
      <c r="IH6" s="17">
        <f t="shared" ca="1" si="32"/>
        <v>2</v>
      </c>
      <c r="II6" s="24">
        <f t="shared" ca="1" si="32"/>
        <v>2</v>
      </c>
      <c r="IJ6" s="16">
        <f t="shared" ca="1" si="33"/>
        <v>0</v>
      </c>
      <c r="IK6" s="16">
        <f t="shared" ca="1" si="33"/>
        <v>0</v>
      </c>
      <c r="IL6" s="16">
        <f t="shared" ca="1" si="33"/>
        <v>0</v>
      </c>
      <c r="IM6" s="16">
        <f t="shared" ca="1" si="33"/>
        <v>0</v>
      </c>
      <c r="IN6" s="16">
        <f t="shared" ca="1" si="33"/>
        <v>0</v>
      </c>
      <c r="IO6" s="16">
        <f t="shared" ca="1" si="33"/>
        <v>0</v>
      </c>
      <c r="IP6" s="16">
        <f t="shared" ca="1" si="33"/>
        <v>0</v>
      </c>
      <c r="IQ6" s="23">
        <f t="shared" ca="1" si="34"/>
        <v>0</v>
      </c>
      <c r="IR6" s="17">
        <f t="shared" ca="1" si="34"/>
        <v>0</v>
      </c>
      <c r="IS6" s="17">
        <f t="shared" ca="1" si="34"/>
        <v>0</v>
      </c>
      <c r="IT6" s="17">
        <f t="shared" ca="1" si="34"/>
        <v>0</v>
      </c>
      <c r="IU6" s="17">
        <f t="shared" ca="1" si="34"/>
        <v>0</v>
      </c>
      <c r="IV6" s="17">
        <f t="shared" ca="1" si="34"/>
        <v>0</v>
      </c>
      <c r="IW6" s="24">
        <f t="shared" ca="1" si="34"/>
        <v>0</v>
      </c>
      <c r="IX6" s="16">
        <f t="shared" ca="1" si="35"/>
        <v>2</v>
      </c>
      <c r="IY6" s="16">
        <f t="shared" ca="1" si="35"/>
        <v>2</v>
      </c>
      <c r="IZ6" s="16">
        <f t="shared" ca="1" si="35"/>
        <v>2</v>
      </c>
      <c r="JA6" s="16">
        <f t="shared" ca="1" si="35"/>
        <v>2</v>
      </c>
      <c r="JB6" s="16">
        <f t="shared" ca="1" si="35"/>
        <v>2</v>
      </c>
      <c r="JC6" s="16">
        <f t="shared" ca="1" si="35"/>
        <v>2</v>
      </c>
      <c r="JD6" s="18">
        <f t="shared" ca="1" si="35"/>
        <v>2</v>
      </c>
    </row>
    <row r="7" spans="1:264" x14ac:dyDescent="0.4">
      <c r="A7" s="2"/>
      <c r="B7" s="2"/>
      <c r="C7" s="2"/>
      <c r="D7" s="2"/>
      <c r="E7" s="2"/>
      <c r="F7" s="2">
        <f ca="1"/>
        <v>5</v>
      </c>
      <c r="G7" s="2">
        <f ca="1"/>
        <v>1</v>
      </c>
      <c r="H7" s="14" t="s">
        <v>328</v>
      </c>
      <c r="I7" s="7">
        <f ca="1"/>
        <v>2</v>
      </c>
      <c r="J7" s="2">
        <f ca="1"/>
        <v>1</v>
      </c>
      <c r="M7" s="19">
        <f t="shared" ca="1" si="0"/>
        <v>0</v>
      </c>
      <c r="N7" s="16">
        <f t="shared" ca="1" si="0"/>
        <v>0</v>
      </c>
      <c r="O7" s="16">
        <f t="shared" ca="1" si="0"/>
        <v>0</v>
      </c>
      <c r="P7" s="16">
        <f t="shared" ca="1" si="0"/>
        <v>0</v>
      </c>
      <c r="Q7" s="16">
        <f t="shared" ca="1" si="0"/>
        <v>0</v>
      </c>
      <c r="R7" s="16">
        <f t="shared" ca="1" si="0"/>
        <v>0</v>
      </c>
      <c r="S7" s="18">
        <f t="shared" ca="1" si="0"/>
        <v>0</v>
      </c>
      <c r="T7" s="23">
        <f t="shared" ca="1" si="1"/>
        <v>0</v>
      </c>
      <c r="U7" s="17">
        <f t="shared" ca="1" si="1"/>
        <v>0</v>
      </c>
      <c r="V7" s="17">
        <f t="shared" ca="1" si="1"/>
        <v>0</v>
      </c>
      <c r="W7" s="17">
        <f t="shared" ca="1" si="1"/>
        <v>0</v>
      </c>
      <c r="X7" s="17">
        <f t="shared" ca="1" si="1"/>
        <v>0</v>
      </c>
      <c r="Y7" s="17">
        <f t="shared" ca="1" si="1"/>
        <v>0</v>
      </c>
      <c r="Z7" s="24">
        <f t="shared" ca="1" si="1"/>
        <v>0</v>
      </c>
      <c r="AA7" s="16">
        <f t="shared" ca="1" si="2"/>
        <v>0</v>
      </c>
      <c r="AB7" s="16">
        <f t="shared" ca="1" si="2"/>
        <v>0</v>
      </c>
      <c r="AC7" s="16">
        <f t="shared" ca="1" si="2"/>
        <v>0</v>
      </c>
      <c r="AD7" s="16">
        <f t="shared" ca="1" si="2"/>
        <v>0</v>
      </c>
      <c r="AE7" s="16">
        <f t="shared" ca="1" si="2"/>
        <v>0</v>
      </c>
      <c r="AF7" s="16">
        <f t="shared" ca="1" si="2"/>
        <v>0</v>
      </c>
      <c r="AG7" s="18">
        <f t="shared" ca="1" si="2"/>
        <v>0</v>
      </c>
      <c r="AH7" s="23">
        <f t="shared" ca="1" si="3"/>
        <v>2</v>
      </c>
      <c r="AI7" s="17">
        <f t="shared" ca="1" si="3"/>
        <v>2</v>
      </c>
      <c r="AJ7" s="17">
        <f t="shared" ca="1" si="3"/>
        <v>2</v>
      </c>
      <c r="AK7" s="17">
        <f t="shared" ca="1" si="3"/>
        <v>2</v>
      </c>
      <c r="AL7" s="17">
        <f t="shared" ca="1" si="3"/>
        <v>2</v>
      </c>
      <c r="AM7" s="17">
        <f t="shared" ca="1" si="3"/>
        <v>2</v>
      </c>
      <c r="AN7" s="24">
        <f t="shared" ca="1" si="3"/>
        <v>2</v>
      </c>
      <c r="AO7" s="19">
        <f t="shared" ca="1" si="4"/>
        <v>0</v>
      </c>
      <c r="AP7" s="16">
        <f t="shared" ca="1" si="4"/>
        <v>0</v>
      </c>
      <c r="AQ7" s="16">
        <f t="shared" ca="1" si="4"/>
        <v>0</v>
      </c>
      <c r="AR7" s="16">
        <f t="shared" ca="1" si="4"/>
        <v>0</v>
      </c>
      <c r="AS7" s="16">
        <f t="shared" ca="1" si="4"/>
        <v>0</v>
      </c>
      <c r="AT7" s="16">
        <f t="shared" ca="1" si="4"/>
        <v>0</v>
      </c>
      <c r="AU7" s="16">
        <f t="shared" ca="1" si="4"/>
        <v>0</v>
      </c>
      <c r="AV7" s="18">
        <f t="shared" ca="1" si="4"/>
        <v>0</v>
      </c>
      <c r="AW7" s="19">
        <f t="shared" ca="1" si="5"/>
        <v>2</v>
      </c>
      <c r="AX7" s="16">
        <f t="shared" ca="1" si="5"/>
        <v>2</v>
      </c>
      <c r="AY7" s="16">
        <f t="shared" ca="1" si="5"/>
        <v>2</v>
      </c>
      <c r="AZ7" s="16">
        <f t="shared" ca="1" si="5"/>
        <v>2</v>
      </c>
      <c r="BA7" s="16">
        <f t="shared" ca="1" si="5"/>
        <v>2</v>
      </c>
      <c r="BB7" s="16">
        <f t="shared" ca="1" si="5"/>
        <v>2</v>
      </c>
      <c r="BC7" s="23">
        <f t="shared" ca="1" si="6"/>
        <v>0</v>
      </c>
      <c r="BD7" s="17">
        <f t="shared" ca="1" si="6"/>
        <v>0</v>
      </c>
      <c r="BE7" s="17">
        <f t="shared" ca="1" si="6"/>
        <v>0</v>
      </c>
      <c r="BF7" s="17">
        <f t="shared" ca="1" si="6"/>
        <v>0</v>
      </c>
      <c r="BG7" s="17">
        <f t="shared" ca="1" si="6"/>
        <v>0</v>
      </c>
      <c r="BH7" s="17">
        <f t="shared" ca="1" si="6"/>
        <v>0</v>
      </c>
      <c r="BI7" s="24">
        <f t="shared" ca="1" si="6"/>
        <v>0</v>
      </c>
      <c r="BJ7" s="16">
        <f t="shared" ca="1" si="7"/>
        <v>0</v>
      </c>
      <c r="BK7" s="16">
        <f t="shared" ca="1" si="7"/>
        <v>0</v>
      </c>
      <c r="BL7" s="16">
        <f t="shared" ca="1" si="7"/>
        <v>0</v>
      </c>
      <c r="BM7" s="16">
        <f t="shared" ca="1" si="7"/>
        <v>0</v>
      </c>
      <c r="BN7" s="16">
        <f t="shared" ca="1" si="7"/>
        <v>0</v>
      </c>
      <c r="BO7" s="16">
        <f t="shared" ca="1" si="7"/>
        <v>0</v>
      </c>
      <c r="BP7" s="16">
        <f t="shared" ca="1" si="7"/>
        <v>0</v>
      </c>
      <c r="BQ7" s="23">
        <f t="shared" ca="1" si="8"/>
        <v>2</v>
      </c>
      <c r="BR7" s="17">
        <f t="shared" ca="1" si="8"/>
        <v>2</v>
      </c>
      <c r="BS7" s="17">
        <f t="shared" ca="1" si="8"/>
        <v>2</v>
      </c>
      <c r="BT7" s="17">
        <f t="shared" ca="1" si="8"/>
        <v>2</v>
      </c>
      <c r="BU7" s="17">
        <f t="shared" ca="1" si="8"/>
        <v>2</v>
      </c>
      <c r="BV7" s="17">
        <f t="shared" ca="1" si="8"/>
        <v>2</v>
      </c>
      <c r="BW7" s="24">
        <f t="shared" ca="1" si="8"/>
        <v>2</v>
      </c>
      <c r="BX7" s="16">
        <f t="shared" ca="1" si="9"/>
        <v>0</v>
      </c>
      <c r="BY7" s="16">
        <f t="shared" ca="1" si="9"/>
        <v>0</v>
      </c>
      <c r="BZ7" s="16">
        <f t="shared" ca="1" si="9"/>
        <v>0</v>
      </c>
      <c r="CA7" s="16">
        <f t="shared" ca="1" si="9"/>
        <v>0</v>
      </c>
      <c r="CB7" s="16">
        <f t="shared" ca="1" si="9"/>
        <v>0</v>
      </c>
      <c r="CC7" s="16">
        <f t="shared" ca="1" si="9"/>
        <v>0</v>
      </c>
      <c r="CD7" s="16">
        <f t="shared" ca="1" si="9"/>
        <v>0</v>
      </c>
      <c r="CE7" s="23">
        <f t="shared" ca="1" si="10"/>
        <v>0</v>
      </c>
      <c r="CF7" s="17">
        <f t="shared" ca="1" si="10"/>
        <v>0</v>
      </c>
      <c r="CG7" s="17">
        <f t="shared" ca="1" si="10"/>
        <v>0</v>
      </c>
      <c r="CH7" s="17">
        <f t="shared" ca="1" si="10"/>
        <v>0</v>
      </c>
      <c r="CI7" s="17">
        <f t="shared" ca="1" si="10"/>
        <v>0</v>
      </c>
      <c r="CJ7" s="17">
        <f t="shared" ca="1" si="10"/>
        <v>0</v>
      </c>
      <c r="CK7" s="24">
        <f t="shared" ca="1" si="10"/>
        <v>0</v>
      </c>
      <c r="CL7" s="16">
        <f t="shared" ca="1" si="11"/>
        <v>2</v>
      </c>
      <c r="CM7" s="16">
        <f t="shared" ca="1" si="11"/>
        <v>2</v>
      </c>
      <c r="CN7" s="16">
        <f t="shared" ca="1" si="11"/>
        <v>2</v>
      </c>
      <c r="CO7" s="16">
        <f t="shared" ca="1" si="11"/>
        <v>2</v>
      </c>
      <c r="CP7" s="16">
        <f t="shared" ca="1" si="11"/>
        <v>2</v>
      </c>
      <c r="CQ7" s="16">
        <f t="shared" ca="1" si="11"/>
        <v>2</v>
      </c>
      <c r="CR7" s="18">
        <f t="shared" ca="1" si="11"/>
        <v>2</v>
      </c>
      <c r="CS7" s="19">
        <f t="shared" ca="1" si="12"/>
        <v>0</v>
      </c>
      <c r="CT7" s="16">
        <f t="shared" ca="1" si="12"/>
        <v>0</v>
      </c>
      <c r="CU7" s="16">
        <f t="shared" ca="1" si="12"/>
        <v>0</v>
      </c>
      <c r="CV7" s="16">
        <f t="shared" ca="1" si="12"/>
        <v>0</v>
      </c>
      <c r="CW7" s="16">
        <f t="shared" ca="1" si="12"/>
        <v>0</v>
      </c>
      <c r="CX7" s="16">
        <f t="shared" ca="1" si="12"/>
        <v>0</v>
      </c>
      <c r="CY7" s="16">
        <f t="shared" ca="1" si="12"/>
        <v>0</v>
      </c>
      <c r="CZ7" s="23">
        <f t="shared" ca="1" si="13"/>
        <v>0</v>
      </c>
      <c r="DA7" s="17">
        <f t="shared" ca="1" si="13"/>
        <v>0</v>
      </c>
      <c r="DB7" s="17">
        <f t="shared" ca="1" si="13"/>
        <v>0</v>
      </c>
      <c r="DC7" s="17">
        <f t="shared" ca="1" si="13"/>
        <v>0</v>
      </c>
      <c r="DD7" s="17">
        <f t="shared" ca="1" si="13"/>
        <v>0</v>
      </c>
      <c r="DE7" s="17">
        <f t="shared" ca="1" si="13"/>
        <v>0</v>
      </c>
      <c r="DF7" s="24">
        <f t="shared" ca="1" si="13"/>
        <v>0</v>
      </c>
      <c r="DG7" s="16">
        <f t="shared" ca="1" si="14"/>
        <v>0</v>
      </c>
      <c r="DH7" s="16">
        <f t="shared" ca="1" si="14"/>
        <v>0</v>
      </c>
      <c r="DI7" s="16">
        <f t="shared" ca="1" si="14"/>
        <v>0</v>
      </c>
      <c r="DJ7" s="16">
        <f t="shared" ca="1" si="14"/>
        <v>0</v>
      </c>
      <c r="DK7" s="16">
        <f t="shared" ca="1" si="14"/>
        <v>0</v>
      </c>
      <c r="DL7" s="16">
        <f t="shared" ca="1" si="14"/>
        <v>0</v>
      </c>
      <c r="DM7" s="16">
        <f t="shared" ca="1" si="14"/>
        <v>0</v>
      </c>
      <c r="DN7" s="23">
        <f t="shared" ca="1" si="15"/>
        <v>2</v>
      </c>
      <c r="DO7" s="17">
        <f t="shared" ca="1" si="15"/>
        <v>2</v>
      </c>
      <c r="DP7" s="17">
        <f t="shared" ca="1" si="15"/>
        <v>2</v>
      </c>
      <c r="DQ7" s="17">
        <f t="shared" ca="1" si="15"/>
        <v>2</v>
      </c>
      <c r="DR7" s="17">
        <f t="shared" ca="1" si="15"/>
        <v>2</v>
      </c>
      <c r="DS7" s="17">
        <f t="shared" ca="1" si="15"/>
        <v>2</v>
      </c>
      <c r="DT7" s="24">
        <f t="shared" ca="1" si="15"/>
        <v>2</v>
      </c>
      <c r="DU7" s="16">
        <f t="shared" ca="1" si="16"/>
        <v>0</v>
      </c>
      <c r="DV7" s="16">
        <f t="shared" ca="1" si="16"/>
        <v>0</v>
      </c>
      <c r="DW7" s="16">
        <f t="shared" ca="1" si="16"/>
        <v>0</v>
      </c>
      <c r="DX7" s="16">
        <f t="shared" ca="1" si="16"/>
        <v>0</v>
      </c>
      <c r="DY7" s="16">
        <f t="shared" ca="1" si="16"/>
        <v>0</v>
      </c>
      <c r="DZ7" s="16">
        <f t="shared" ca="1" si="16"/>
        <v>0</v>
      </c>
      <c r="EA7" s="16">
        <f t="shared" ca="1" si="16"/>
        <v>0</v>
      </c>
      <c r="EB7" s="18">
        <f t="shared" ca="1" si="16"/>
        <v>0</v>
      </c>
      <c r="EC7" s="19">
        <f t="shared" ca="1" si="17"/>
        <v>2</v>
      </c>
      <c r="ED7" s="16">
        <f t="shared" ca="1" si="17"/>
        <v>2</v>
      </c>
      <c r="EE7" s="16">
        <f t="shared" ca="1" si="17"/>
        <v>2</v>
      </c>
      <c r="EF7" s="16">
        <f t="shared" ca="1" si="17"/>
        <v>2</v>
      </c>
      <c r="EG7" s="16">
        <f t="shared" ca="1" si="17"/>
        <v>2</v>
      </c>
      <c r="EH7" s="16">
        <f t="shared" ca="1" si="17"/>
        <v>2</v>
      </c>
      <c r="EI7" s="23">
        <f t="shared" ca="1" si="18"/>
        <v>0</v>
      </c>
      <c r="EJ7" s="17">
        <f t="shared" ca="1" si="18"/>
        <v>0</v>
      </c>
      <c r="EK7" s="17">
        <f t="shared" ca="1" si="18"/>
        <v>0</v>
      </c>
      <c r="EL7" s="17">
        <f t="shared" ca="1" si="18"/>
        <v>0</v>
      </c>
      <c r="EM7" s="17">
        <f t="shared" ca="1" si="18"/>
        <v>0</v>
      </c>
      <c r="EN7" s="17">
        <f t="shared" ca="1" si="18"/>
        <v>0</v>
      </c>
      <c r="EO7" s="24">
        <f t="shared" ca="1" si="18"/>
        <v>0</v>
      </c>
      <c r="EP7" s="16">
        <f t="shared" ca="1" si="19"/>
        <v>0</v>
      </c>
      <c r="EQ7" s="16">
        <f t="shared" ca="1" si="19"/>
        <v>0</v>
      </c>
      <c r="ER7" s="16">
        <f t="shared" ca="1" si="19"/>
        <v>0</v>
      </c>
      <c r="ES7" s="16">
        <f t="shared" ca="1" si="19"/>
        <v>0</v>
      </c>
      <c r="ET7" s="16">
        <f t="shared" ca="1" si="19"/>
        <v>0</v>
      </c>
      <c r="EU7" s="16">
        <f t="shared" ca="1" si="19"/>
        <v>0</v>
      </c>
      <c r="EV7" s="16">
        <f t="shared" ca="1" si="19"/>
        <v>0</v>
      </c>
      <c r="EW7" s="23">
        <f t="shared" ca="1" si="20"/>
        <v>2</v>
      </c>
      <c r="EX7" s="17">
        <f t="shared" ca="1" si="20"/>
        <v>2</v>
      </c>
      <c r="EY7" s="17">
        <f t="shared" ca="1" si="20"/>
        <v>2</v>
      </c>
      <c r="EZ7" s="17">
        <f t="shared" ca="1" si="20"/>
        <v>2</v>
      </c>
      <c r="FA7" s="17">
        <f t="shared" ca="1" si="20"/>
        <v>2</v>
      </c>
      <c r="FB7" s="17">
        <f t="shared" ca="1" si="20"/>
        <v>2</v>
      </c>
      <c r="FC7" s="24">
        <f t="shared" ca="1" si="20"/>
        <v>2</v>
      </c>
      <c r="FD7" s="16">
        <f t="shared" ca="1" si="21"/>
        <v>0</v>
      </c>
      <c r="FE7" s="16">
        <f t="shared" ca="1" si="21"/>
        <v>0</v>
      </c>
      <c r="FF7" s="16">
        <f t="shared" ca="1" si="21"/>
        <v>0</v>
      </c>
      <c r="FG7" s="16">
        <f t="shared" ca="1" si="21"/>
        <v>0</v>
      </c>
      <c r="FH7" s="16">
        <f t="shared" ca="1" si="21"/>
        <v>0</v>
      </c>
      <c r="FI7" s="16">
        <f t="shared" ca="1" si="21"/>
        <v>0</v>
      </c>
      <c r="FJ7" s="16">
        <f t="shared" ca="1" si="21"/>
        <v>0</v>
      </c>
      <c r="FK7" s="23">
        <f t="shared" ca="1" si="22"/>
        <v>0</v>
      </c>
      <c r="FL7" s="17">
        <f t="shared" ca="1" si="22"/>
        <v>0</v>
      </c>
      <c r="FM7" s="17">
        <f t="shared" ca="1" si="22"/>
        <v>0</v>
      </c>
      <c r="FN7" s="17">
        <f t="shared" ca="1" si="22"/>
        <v>0</v>
      </c>
      <c r="FO7" s="17">
        <f t="shared" ca="1" si="22"/>
        <v>0</v>
      </c>
      <c r="FP7" s="17">
        <f t="shared" ca="1" si="22"/>
        <v>0</v>
      </c>
      <c r="FQ7" s="24">
        <f t="shared" ca="1" si="22"/>
        <v>0</v>
      </c>
      <c r="FR7" s="16">
        <f t="shared" ca="1" si="23"/>
        <v>2</v>
      </c>
      <c r="FS7" s="16">
        <f t="shared" ca="1" si="23"/>
        <v>2</v>
      </c>
      <c r="FT7" s="16">
        <f t="shared" ca="1" si="23"/>
        <v>2</v>
      </c>
      <c r="FU7" s="16">
        <f t="shared" ca="1" si="23"/>
        <v>2</v>
      </c>
      <c r="FV7" s="16">
        <f t="shared" ca="1" si="23"/>
        <v>2</v>
      </c>
      <c r="FW7" s="16">
        <f t="shared" ca="1" si="23"/>
        <v>2</v>
      </c>
      <c r="FX7" s="18">
        <f t="shared" ca="1" si="23"/>
        <v>2</v>
      </c>
      <c r="FY7" s="19">
        <f t="shared" ca="1" si="24"/>
        <v>0</v>
      </c>
      <c r="FZ7" s="16">
        <f t="shared" ca="1" si="24"/>
        <v>0</v>
      </c>
      <c r="GA7" s="16">
        <f t="shared" ca="1" si="24"/>
        <v>0</v>
      </c>
      <c r="GB7" s="16">
        <f t="shared" ca="1" si="24"/>
        <v>0</v>
      </c>
      <c r="GC7" s="16">
        <f t="shared" ca="1" si="24"/>
        <v>0</v>
      </c>
      <c r="GD7" s="16">
        <f t="shared" ca="1" si="24"/>
        <v>0</v>
      </c>
      <c r="GE7" s="16">
        <f t="shared" ca="1" si="24"/>
        <v>0</v>
      </c>
      <c r="GF7" s="23">
        <f t="shared" ca="1" si="25"/>
        <v>0</v>
      </c>
      <c r="GG7" s="17">
        <f t="shared" ca="1" si="25"/>
        <v>0</v>
      </c>
      <c r="GH7" s="17">
        <f t="shared" ca="1" si="25"/>
        <v>0</v>
      </c>
      <c r="GI7" s="17">
        <f t="shared" ca="1" si="25"/>
        <v>0</v>
      </c>
      <c r="GJ7" s="17">
        <f t="shared" ca="1" si="25"/>
        <v>0</v>
      </c>
      <c r="GK7" s="17">
        <f t="shared" ca="1" si="25"/>
        <v>0</v>
      </c>
      <c r="GL7" s="24">
        <f t="shared" ca="1" si="25"/>
        <v>0</v>
      </c>
      <c r="GM7" s="16">
        <f t="shared" ca="1" si="26"/>
        <v>0</v>
      </c>
      <c r="GN7" s="16">
        <f t="shared" ca="1" si="26"/>
        <v>0</v>
      </c>
      <c r="GO7" s="16">
        <f t="shared" ca="1" si="26"/>
        <v>0</v>
      </c>
      <c r="GP7" s="16">
        <f t="shared" ca="1" si="26"/>
        <v>0</v>
      </c>
      <c r="GQ7" s="16">
        <f t="shared" ca="1" si="26"/>
        <v>0</v>
      </c>
      <c r="GR7" s="16">
        <f t="shared" ca="1" si="26"/>
        <v>0</v>
      </c>
      <c r="GS7" s="16">
        <f t="shared" ca="1" si="26"/>
        <v>0</v>
      </c>
      <c r="GT7" s="23">
        <f t="shared" ca="1" si="27"/>
        <v>2</v>
      </c>
      <c r="GU7" s="17">
        <f t="shared" ca="1" si="27"/>
        <v>2</v>
      </c>
      <c r="GV7" s="17">
        <f t="shared" ca="1" si="27"/>
        <v>2</v>
      </c>
      <c r="GW7" s="17">
        <f t="shared" ca="1" si="27"/>
        <v>2</v>
      </c>
      <c r="GX7" s="17">
        <f t="shared" ca="1" si="27"/>
        <v>2</v>
      </c>
      <c r="GY7" s="17">
        <f t="shared" ca="1" si="27"/>
        <v>2</v>
      </c>
      <c r="GZ7" s="24">
        <f t="shared" ca="1" si="27"/>
        <v>2</v>
      </c>
      <c r="HA7" s="16">
        <f t="shared" ca="1" si="28"/>
        <v>0</v>
      </c>
      <c r="HB7" s="16">
        <f t="shared" ca="1" si="28"/>
        <v>0</v>
      </c>
      <c r="HC7" s="16">
        <f t="shared" ca="1" si="28"/>
        <v>0</v>
      </c>
      <c r="HD7" s="16">
        <f t="shared" ca="1" si="28"/>
        <v>0</v>
      </c>
      <c r="HE7" s="16">
        <f t="shared" ca="1" si="28"/>
        <v>0</v>
      </c>
      <c r="HF7" s="16">
        <f t="shared" ca="1" si="28"/>
        <v>0</v>
      </c>
      <c r="HG7" s="16">
        <f t="shared" ca="1" si="28"/>
        <v>0</v>
      </c>
      <c r="HH7" s="18">
        <f t="shared" ca="1" si="28"/>
        <v>0</v>
      </c>
      <c r="HI7" s="19">
        <f t="shared" ca="1" si="29"/>
        <v>2</v>
      </c>
      <c r="HJ7" s="16">
        <f t="shared" ca="1" si="29"/>
        <v>2</v>
      </c>
      <c r="HK7" s="16">
        <f t="shared" ca="1" si="29"/>
        <v>2</v>
      </c>
      <c r="HL7" s="16">
        <f t="shared" ca="1" si="29"/>
        <v>2</v>
      </c>
      <c r="HM7" s="16">
        <f t="shared" ca="1" si="29"/>
        <v>2</v>
      </c>
      <c r="HN7" s="16">
        <f t="shared" ca="1" si="29"/>
        <v>2</v>
      </c>
      <c r="HO7" s="23">
        <f t="shared" ca="1" si="30"/>
        <v>0</v>
      </c>
      <c r="HP7" s="17">
        <f t="shared" ca="1" si="30"/>
        <v>0</v>
      </c>
      <c r="HQ7" s="17">
        <f t="shared" ca="1" si="30"/>
        <v>0</v>
      </c>
      <c r="HR7" s="17">
        <f t="shared" ca="1" si="30"/>
        <v>0</v>
      </c>
      <c r="HS7" s="17">
        <f t="shared" ca="1" si="30"/>
        <v>0</v>
      </c>
      <c r="HT7" s="17">
        <f t="shared" ca="1" si="30"/>
        <v>0</v>
      </c>
      <c r="HU7" s="24">
        <f t="shared" ca="1" si="30"/>
        <v>0</v>
      </c>
      <c r="HV7" s="16">
        <f t="shared" ca="1" si="31"/>
        <v>0</v>
      </c>
      <c r="HW7" s="16">
        <f t="shared" ca="1" si="31"/>
        <v>0</v>
      </c>
      <c r="HX7" s="16">
        <f t="shared" ca="1" si="31"/>
        <v>0</v>
      </c>
      <c r="HY7" s="16">
        <f t="shared" ca="1" si="31"/>
        <v>0</v>
      </c>
      <c r="HZ7" s="16">
        <f t="shared" ca="1" si="31"/>
        <v>0</v>
      </c>
      <c r="IA7" s="16">
        <f t="shared" ca="1" si="31"/>
        <v>0</v>
      </c>
      <c r="IB7" s="16">
        <f t="shared" ca="1" si="31"/>
        <v>0</v>
      </c>
      <c r="IC7" s="23">
        <f t="shared" ca="1" si="32"/>
        <v>2</v>
      </c>
      <c r="ID7" s="17">
        <f t="shared" ca="1" si="32"/>
        <v>2</v>
      </c>
      <c r="IE7" s="17">
        <f t="shared" ca="1" si="32"/>
        <v>2</v>
      </c>
      <c r="IF7" s="17">
        <f t="shared" ca="1" si="32"/>
        <v>2</v>
      </c>
      <c r="IG7" s="17">
        <f t="shared" ca="1" si="32"/>
        <v>2</v>
      </c>
      <c r="IH7" s="17">
        <f t="shared" ca="1" si="32"/>
        <v>2</v>
      </c>
      <c r="II7" s="24">
        <f t="shared" ca="1" si="32"/>
        <v>2</v>
      </c>
      <c r="IJ7" s="16">
        <f t="shared" ca="1" si="33"/>
        <v>0</v>
      </c>
      <c r="IK7" s="16">
        <f t="shared" ca="1" si="33"/>
        <v>0</v>
      </c>
      <c r="IL7" s="16">
        <f t="shared" ca="1" si="33"/>
        <v>0</v>
      </c>
      <c r="IM7" s="16">
        <f t="shared" ca="1" si="33"/>
        <v>0</v>
      </c>
      <c r="IN7" s="16">
        <f t="shared" ca="1" si="33"/>
        <v>0</v>
      </c>
      <c r="IO7" s="16">
        <f t="shared" ca="1" si="33"/>
        <v>0</v>
      </c>
      <c r="IP7" s="16">
        <f t="shared" ca="1" si="33"/>
        <v>0</v>
      </c>
      <c r="IQ7" s="23">
        <f t="shared" ca="1" si="34"/>
        <v>0</v>
      </c>
      <c r="IR7" s="17">
        <f t="shared" ca="1" si="34"/>
        <v>0</v>
      </c>
      <c r="IS7" s="17">
        <f t="shared" ca="1" si="34"/>
        <v>0</v>
      </c>
      <c r="IT7" s="17">
        <f t="shared" ca="1" si="34"/>
        <v>0</v>
      </c>
      <c r="IU7" s="17">
        <f t="shared" ca="1" si="34"/>
        <v>0</v>
      </c>
      <c r="IV7" s="17">
        <f t="shared" ca="1" si="34"/>
        <v>0</v>
      </c>
      <c r="IW7" s="24">
        <f t="shared" ca="1" si="34"/>
        <v>0</v>
      </c>
      <c r="IX7" s="16">
        <f t="shared" ca="1" si="35"/>
        <v>2</v>
      </c>
      <c r="IY7" s="16">
        <f t="shared" ca="1" si="35"/>
        <v>2</v>
      </c>
      <c r="IZ7" s="16">
        <f t="shared" ca="1" si="35"/>
        <v>2</v>
      </c>
      <c r="JA7" s="16">
        <f t="shared" ca="1" si="35"/>
        <v>2</v>
      </c>
      <c r="JB7" s="16">
        <f t="shared" ca="1" si="35"/>
        <v>2</v>
      </c>
      <c r="JC7" s="16">
        <f t="shared" ca="1" si="35"/>
        <v>2</v>
      </c>
      <c r="JD7" s="18">
        <f t="shared" ca="1" si="35"/>
        <v>2</v>
      </c>
    </row>
    <row r="8" spans="1:264" x14ac:dyDescent="0.4">
      <c r="A8" s="2"/>
      <c r="B8" s="2"/>
      <c r="C8" s="2"/>
      <c r="D8" s="2"/>
      <c r="E8" s="2"/>
      <c r="F8" s="2">
        <f ca="1"/>
        <v>-1</v>
      </c>
      <c r="G8" s="2">
        <f ca="1"/>
        <v>3</v>
      </c>
      <c r="H8" s="14" t="s">
        <v>329</v>
      </c>
      <c r="I8" s="7">
        <f ca="1"/>
        <v>0</v>
      </c>
      <c r="J8" s="2">
        <f ca="1"/>
        <v>0</v>
      </c>
      <c r="M8" s="19">
        <f t="shared" ca="1" si="0"/>
        <v>0</v>
      </c>
      <c r="N8" s="16">
        <f t="shared" ca="1" si="0"/>
        <v>0</v>
      </c>
      <c r="O8" s="16">
        <f t="shared" ca="1" si="0"/>
        <v>0</v>
      </c>
      <c r="P8" s="16">
        <f t="shared" ca="1" si="0"/>
        <v>0</v>
      </c>
      <c r="Q8" s="16">
        <f t="shared" ca="1" si="0"/>
        <v>0</v>
      </c>
      <c r="R8" s="16">
        <f t="shared" ca="1" si="0"/>
        <v>0</v>
      </c>
      <c r="S8" s="18">
        <f t="shared" ca="1" si="0"/>
        <v>0</v>
      </c>
      <c r="T8" s="23">
        <f t="shared" ca="1" si="1"/>
        <v>0</v>
      </c>
      <c r="U8" s="17">
        <f t="shared" ca="1" si="1"/>
        <v>0</v>
      </c>
      <c r="V8" s="17">
        <f t="shared" ca="1" si="1"/>
        <v>0</v>
      </c>
      <c r="W8" s="17">
        <f t="shared" ca="1" si="1"/>
        <v>0</v>
      </c>
      <c r="X8" s="17">
        <f t="shared" ca="1" si="1"/>
        <v>0</v>
      </c>
      <c r="Y8" s="17">
        <f t="shared" ca="1" si="1"/>
        <v>0</v>
      </c>
      <c r="Z8" s="24">
        <f t="shared" ca="1" si="1"/>
        <v>0</v>
      </c>
      <c r="AA8" s="16">
        <f t="shared" ca="1" si="2"/>
        <v>0</v>
      </c>
      <c r="AB8" s="16">
        <f t="shared" ca="1" si="2"/>
        <v>0</v>
      </c>
      <c r="AC8" s="16">
        <f t="shared" ca="1" si="2"/>
        <v>0</v>
      </c>
      <c r="AD8" s="16">
        <f t="shared" ca="1" si="2"/>
        <v>0</v>
      </c>
      <c r="AE8" s="16">
        <f t="shared" ca="1" si="2"/>
        <v>0</v>
      </c>
      <c r="AF8" s="16">
        <f t="shared" ca="1" si="2"/>
        <v>0</v>
      </c>
      <c r="AG8" s="18">
        <f t="shared" ca="1" si="2"/>
        <v>0</v>
      </c>
      <c r="AH8" s="23">
        <f t="shared" ca="1" si="3"/>
        <v>2</v>
      </c>
      <c r="AI8" s="17">
        <f t="shared" ca="1" si="3"/>
        <v>2</v>
      </c>
      <c r="AJ8" s="17">
        <f t="shared" ca="1" si="3"/>
        <v>2</v>
      </c>
      <c r="AK8" s="17">
        <f t="shared" ca="1" si="3"/>
        <v>2</v>
      </c>
      <c r="AL8" s="17">
        <f t="shared" ca="1" si="3"/>
        <v>2</v>
      </c>
      <c r="AM8" s="17">
        <f t="shared" ca="1" si="3"/>
        <v>2</v>
      </c>
      <c r="AN8" s="24">
        <f t="shared" ca="1" si="3"/>
        <v>2</v>
      </c>
      <c r="AO8" s="19">
        <f t="shared" ca="1" si="4"/>
        <v>0</v>
      </c>
      <c r="AP8" s="16">
        <f t="shared" ca="1" si="4"/>
        <v>0</v>
      </c>
      <c r="AQ8" s="16">
        <f t="shared" ca="1" si="4"/>
        <v>0</v>
      </c>
      <c r="AR8" s="16">
        <f t="shared" ca="1" si="4"/>
        <v>0</v>
      </c>
      <c r="AS8" s="16">
        <f t="shared" ca="1" si="4"/>
        <v>0</v>
      </c>
      <c r="AT8" s="16">
        <f t="shared" ca="1" si="4"/>
        <v>0</v>
      </c>
      <c r="AU8" s="16">
        <f t="shared" ca="1" si="4"/>
        <v>0</v>
      </c>
      <c r="AV8" s="18">
        <f t="shared" ca="1" si="4"/>
        <v>0</v>
      </c>
      <c r="AW8" s="19">
        <f t="shared" ca="1" si="5"/>
        <v>2</v>
      </c>
      <c r="AX8" s="16">
        <f t="shared" ca="1" si="5"/>
        <v>2</v>
      </c>
      <c r="AY8" s="16">
        <f t="shared" ca="1" si="5"/>
        <v>2</v>
      </c>
      <c r="AZ8" s="16">
        <f t="shared" ca="1" si="5"/>
        <v>2</v>
      </c>
      <c r="BA8" s="16">
        <f t="shared" ca="1" si="5"/>
        <v>2</v>
      </c>
      <c r="BB8" s="16">
        <f t="shared" ca="1" si="5"/>
        <v>2</v>
      </c>
      <c r="BC8" s="23">
        <f t="shared" ca="1" si="6"/>
        <v>0</v>
      </c>
      <c r="BD8" s="17">
        <f t="shared" ca="1" si="6"/>
        <v>0</v>
      </c>
      <c r="BE8" s="17">
        <f t="shared" ca="1" si="6"/>
        <v>0</v>
      </c>
      <c r="BF8" s="17">
        <f t="shared" ca="1" si="6"/>
        <v>0</v>
      </c>
      <c r="BG8" s="17">
        <f t="shared" ca="1" si="6"/>
        <v>0</v>
      </c>
      <c r="BH8" s="17">
        <f t="shared" ca="1" si="6"/>
        <v>0</v>
      </c>
      <c r="BI8" s="24">
        <f t="shared" ca="1" si="6"/>
        <v>0</v>
      </c>
      <c r="BJ8" s="16">
        <f t="shared" ca="1" si="7"/>
        <v>0</v>
      </c>
      <c r="BK8" s="16">
        <f t="shared" ca="1" si="7"/>
        <v>0</v>
      </c>
      <c r="BL8" s="16">
        <f t="shared" ca="1" si="7"/>
        <v>0</v>
      </c>
      <c r="BM8" s="16">
        <f t="shared" ca="1" si="7"/>
        <v>0</v>
      </c>
      <c r="BN8" s="16">
        <f t="shared" ca="1" si="7"/>
        <v>0</v>
      </c>
      <c r="BO8" s="16">
        <f t="shared" ca="1" si="7"/>
        <v>0</v>
      </c>
      <c r="BP8" s="16">
        <f t="shared" ca="1" si="7"/>
        <v>0</v>
      </c>
      <c r="BQ8" s="23">
        <f t="shared" ca="1" si="8"/>
        <v>2</v>
      </c>
      <c r="BR8" s="17">
        <f t="shared" ca="1" si="8"/>
        <v>2</v>
      </c>
      <c r="BS8" s="17">
        <f t="shared" ca="1" si="8"/>
        <v>2</v>
      </c>
      <c r="BT8" s="17">
        <f t="shared" ca="1" si="8"/>
        <v>2</v>
      </c>
      <c r="BU8" s="17">
        <f t="shared" ca="1" si="8"/>
        <v>2</v>
      </c>
      <c r="BV8" s="17">
        <f t="shared" ca="1" si="8"/>
        <v>2</v>
      </c>
      <c r="BW8" s="24">
        <f t="shared" ca="1" si="8"/>
        <v>2</v>
      </c>
      <c r="BX8" s="16">
        <f t="shared" ca="1" si="9"/>
        <v>0</v>
      </c>
      <c r="BY8" s="16">
        <f t="shared" ca="1" si="9"/>
        <v>0</v>
      </c>
      <c r="BZ8" s="16">
        <f t="shared" ca="1" si="9"/>
        <v>0</v>
      </c>
      <c r="CA8" s="16">
        <f t="shared" ca="1" si="9"/>
        <v>0</v>
      </c>
      <c r="CB8" s="16">
        <f t="shared" ca="1" si="9"/>
        <v>0</v>
      </c>
      <c r="CC8" s="16">
        <f t="shared" ca="1" si="9"/>
        <v>0</v>
      </c>
      <c r="CD8" s="16">
        <f t="shared" ca="1" si="9"/>
        <v>0</v>
      </c>
      <c r="CE8" s="23">
        <f t="shared" ca="1" si="10"/>
        <v>0</v>
      </c>
      <c r="CF8" s="17">
        <f t="shared" ca="1" si="10"/>
        <v>0</v>
      </c>
      <c r="CG8" s="17">
        <f t="shared" ca="1" si="10"/>
        <v>0</v>
      </c>
      <c r="CH8" s="17">
        <f t="shared" ca="1" si="10"/>
        <v>0</v>
      </c>
      <c r="CI8" s="17">
        <f t="shared" ca="1" si="10"/>
        <v>0</v>
      </c>
      <c r="CJ8" s="17">
        <f t="shared" ca="1" si="10"/>
        <v>0</v>
      </c>
      <c r="CK8" s="24">
        <f t="shared" ca="1" si="10"/>
        <v>0</v>
      </c>
      <c r="CL8" s="16">
        <f t="shared" ca="1" si="11"/>
        <v>2</v>
      </c>
      <c r="CM8" s="16">
        <f t="shared" ca="1" si="11"/>
        <v>2</v>
      </c>
      <c r="CN8" s="16">
        <f t="shared" ca="1" si="11"/>
        <v>2</v>
      </c>
      <c r="CO8" s="16">
        <f t="shared" ca="1" si="11"/>
        <v>2</v>
      </c>
      <c r="CP8" s="16">
        <f t="shared" ca="1" si="11"/>
        <v>2</v>
      </c>
      <c r="CQ8" s="16">
        <f t="shared" ca="1" si="11"/>
        <v>2</v>
      </c>
      <c r="CR8" s="18">
        <f t="shared" ca="1" si="11"/>
        <v>2</v>
      </c>
      <c r="CS8" s="19">
        <f t="shared" ca="1" si="12"/>
        <v>0</v>
      </c>
      <c r="CT8" s="16">
        <f t="shared" ca="1" si="12"/>
        <v>0</v>
      </c>
      <c r="CU8" s="16">
        <f t="shared" ca="1" si="12"/>
        <v>0</v>
      </c>
      <c r="CV8" s="16">
        <f t="shared" ca="1" si="12"/>
        <v>0</v>
      </c>
      <c r="CW8" s="16">
        <f t="shared" ca="1" si="12"/>
        <v>0</v>
      </c>
      <c r="CX8" s="16">
        <f t="shared" ca="1" si="12"/>
        <v>0</v>
      </c>
      <c r="CY8" s="16">
        <f t="shared" ca="1" si="12"/>
        <v>0</v>
      </c>
      <c r="CZ8" s="23">
        <f t="shared" ca="1" si="13"/>
        <v>0</v>
      </c>
      <c r="DA8" s="17">
        <f t="shared" ca="1" si="13"/>
        <v>0</v>
      </c>
      <c r="DB8" s="17">
        <f t="shared" ca="1" si="13"/>
        <v>0</v>
      </c>
      <c r="DC8" s="17">
        <f t="shared" ca="1" si="13"/>
        <v>0</v>
      </c>
      <c r="DD8" s="17">
        <f t="shared" ca="1" si="13"/>
        <v>0</v>
      </c>
      <c r="DE8" s="17">
        <f t="shared" ca="1" si="13"/>
        <v>0</v>
      </c>
      <c r="DF8" s="24">
        <f t="shared" ca="1" si="13"/>
        <v>0</v>
      </c>
      <c r="DG8" s="16">
        <f t="shared" ca="1" si="14"/>
        <v>0</v>
      </c>
      <c r="DH8" s="16">
        <f t="shared" ca="1" si="14"/>
        <v>0</v>
      </c>
      <c r="DI8" s="16">
        <f t="shared" ca="1" si="14"/>
        <v>0</v>
      </c>
      <c r="DJ8" s="16">
        <f t="shared" ca="1" si="14"/>
        <v>0</v>
      </c>
      <c r="DK8" s="16">
        <f t="shared" ca="1" si="14"/>
        <v>0</v>
      </c>
      <c r="DL8" s="16">
        <f t="shared" ca="1" si="14"/>
        <v>0</v>
      </c>
      <c r="DM8" s="16">
        <f t="shared" ca="1" si="14"/>
        <v>0</v>
      </c>
      <c r="DN8" s="23">
        <f t="shared" ca="1" si="15"/>
        <v>2</v>
      </c>
      <c r="DO8" s="17">
        <f t="shared" ca="1" si="15"/>
        <v>2</v>
      </c>
      <c r="DP8" s="17">
        <f t="shared" ca="1" si="15"/>
        <v>2</v>
      </c>
      <c r="DQ8" s="17">
        <f t="shared" ca="1" si="15"/>
        <v>2</v>
      </c>
      <c r="DR8" s="17">
        <f t="shared" ca="1" si="15"/>
        <v>2</v>
      </c>
      <c r="DS8" s="17">
        <f t="shared" ca="1" si="15"/>
        <v>2</v>
      </c>
      <c r="DT8" s="24">
        <f t="shared" ca="1" si="15"/>
        <v>2</v>
      </c>
      <c r="DU8" s="16">
        <f t="shared" ca="1" si="16"/>
        <v>0</v>
      </c>
      <c r="DV8" s="16">
        <f t="shared" ca="1" si="16"/>
        <v>0</v>
      </c>
      <c r="DW8" s="16">
        <f t="shared" ca="1" si="16"/>
        <v>0</v>
      </c>
      <c r="DX8" s="16">
        <f t="shared" ca="1" si="16"/>
        <v>0</v>
      </c>
      <c r="DY8" s="16">
        <f t="shared" ca="1" si="16"/>
        <v>0</v>
      </c>
      <c r="DZ8" s="16">
        <f t="shared" ca="1" si="16"/>
        <v>0</v>
      </c>
      <c r="EA8" s="16">
        <f t="shared" ca="1" si="16"/>
        <v>0</v>
      </c>
      <c r="EB8" s="18">
        <f t="shared" ca="1" si="16"/>
        <v>0</v>
      </c>
      <c r="EC8" s="19">
        <f t="shared" ca="1" si="17"/>
        <v>2</v>
      </c>
      <c r="ED8" s="16">
        <f t="shared" ca="1" si="17"/>
        <v>2</v>
      </c>
      <c r="EE8" s="16">
        <f t="shared" ca="1" si="17"/>
        <v>2</v>
      </c>
      <c r="EF8" s="16">
        <f t="shared" ca="1" si="17"/>
        <v>2</v>
      </c>
      <c r="EG8" s="16">
        <f t="shared" ca="1" si="17"/>
        <v>2</v>
      </c>
      <c r="EH8" s="16">
        <f t="shared" ca="1" si="17"/>
        <v>2</v>
      </c>
      <c r="EI8" s="23">
        <f t="shared" ca="1" si="18"/>
        <v>0</v>
      </c>
      <c r="EJ8" s="17">
        <f t="shared" ca="1" si="18"/>
        <v>0</v>
      </c>
      <c r="EK8" s="17">
        <f t="shared" ca="1" si="18"/>
        <v>0</v>
      </c>
      <c r="EL8" s="17">
        <f t="shared" ca="1" si="18"/>
        <v>0</v>
      </c>
      <c r="EM8" s="17">
        <f t="shared" ca="1" si="18"/>
        <v>0</v>
      </c>
      <c r="EN8" s="17">
        <f t="shared" ca="1" si="18"/>
        <v>0</v>
      </c>
      <c r="EO8" s="24">
        <f t="shared" ca="1" si="18"/>
        <v>0</v>
      </c>
      <c r="EP8" s="16">
        <f t="shared" ca="1" si="19"/>
        <v>0</v>
      </c>
      <c r="EQ8" s="16">
        <f t="shared" ca="1" si="19"/>
        <v>0</v>
      </c>
      <c r="ER8" s="16">
        <f t="shared" ca="1" si="19"/>
        <v>0</v>
      </c>
      <c r="ES8" s="16">
        <f t="shared" ca="1" si="19"/>
        <v>0</v>
      </c>
      <c r="ET8" s="16">
        <f t="shared" ca="1" si="19"/>
        <v>0</v>
      </c>
      <c r="EU8" s="16">
        <f t="shared" ca="1" si="19"/>
        <v>0</v>
      </c>
      <c r="EV8" s="16">
        <f t="shared" ca="1" si="19"/>
        <v>0</v>
      </c>
      <c r="EW8" s="23">
        <f t="shared" ca="1" si="20"/>
        <v>2</v>
      </c>
      <c r="EX8" s="17">
        <f t="shared" ca="1" si="20"/>
        <v>2</v>
      </c>
      <c r="EY8" s="17">
        <f t="shared" ca="1" si="20"/>
        <v>2</v>
      </c>
      <c r="EZ8" s="17">
        <f t="shared" ca="1" si="20"/>
        <v>2</v>
      </c>
      <c r="FA8" s="17">
        <f t="shared" ca="1" si="20"/>
        <v>2</v>
      </c>
      <c r="FB8" s="17">
        <f t="shared" ca="1" si="20"/>
        <v>2</v>
      </c>
      <c r="FC8" s="24">
        <f t="shared" ca="1" si="20"/>
        <v>2</v>
      </c>
      <c r="FD8" s="16">
        <f t="shared" ca="1" si="21"/>
        <v>0</v>
      </c>
      <c r="FE8" s="16">
        <f t="shared" ca="1" si="21"/>
        <v>0</v>
      </c>
      <c r="FF8" s="16">
        <f t="shared" ca="1" si="21"/>
        <v>0</v>
      </c>
      <c r="FG8" s="16">
        <f t="shared" ca="1" si="21"/>
        <v>0</v>
      </c>
      <c r="FH8" s="16">
        <f t="shared" ca="1" si="21"/>
        <v>0</v>
      </c>
      <c r="FI8" s="16">
        <f t="shared" ca="1" si="21"/>
        <v>0</v>
      </c>
      <c r="FJ8" s="16">
        <f t="shared" ca="1" si="21"/>
        <v>0</v>
      </c>
      <c r="FK8" s="23">
        <f t="shared" ca="1" si="22"/>
        <v>0</v>
      </c>
      <c r="FL8" s="17">
        <f t="shared" ca="1" si="22"/>
        <v>0</v>
      </c>
      <c r="FM8" s="17">
        <f t="shared" ca="1" si="22"/>
        <v>0</v>
      </c>
      <c r="FN8" s="17">
        <f t="shared" ca="1" si="22"/>
        <v>0</v>
      </c>
      <c r="FO8" s="17">
        <f t="shared" ca="1" si="22"/>
        <v>0</v>
      </c>
      <c r="FP8" s="17">
        <f t="shared" ca="1" si="22"/>
        <v>0</v>
      </c>
      <c r="FQ8" s="24">
        <f t="shared" ca="1" si="22"/>
        <v>0</v>
      </c>
      <c r="FR8" s="16">
        <f t="shared" ca="1" si="23"/>
        <v>2</v>
      </c>
      <c r="FS8" s="16">
        <f t="shared" ca="1" si="23"/>
        <v>2</v>
      </c>
      <c r="FT8" s="16">
        <f t="shared" ca="1" si="23"/>
        <v>2</v>
      </c>
      <c r="FU8" s="16">
        <f t="shared" ca="1" si="23"/>
        <v>2</v>
      </c>
      <c r="FV8" s="16">
        <f t="shared" ca="1" si="23"/>
        <v>2</v>
      </c>
      <c r="FW8" s="16">
        <f t="shared" ca="1" si="23"/>
        <v>2</v>
      </c>
      <c r="FX8" s="18">
        <f t="shared" ca="1" si="23"/>
        <v>2</v>
      </c>
      <c r="FY8" s="19">
        <f t="shared" ca="1" si="24"/>
        <v>0</v>
      </c>
      <c r="FZ8" s="16">
        <f t="shared" ca="1" si="24"/>
        <v>0</v>
      </c>
      <c r="GA8" s="16">
        <f t="shared" ca="1" si="24"/>
        <v>0</v>
      </c>
      <c r="GB8" s="16">
        <f t="shared" ca="1" si="24"/>
        <v>0</v>
      </c>
      <c r="GC8" s="16">
        <f t="shared" ca="1" si="24"/>
        <v>0</v>
      </c>
      <c r="GD8" s="16">
        <f t="shared" ca="1" si="24"/>
        <v>0</v>
      </c>
      <c r="GE8" s="16">
        <f t="shared" ca="1" si="24"/>
        <v>0</v>
      </c>
      <c r="GF8" s="23">
        <f t="shared" ca="1" si="25"/>
        <v>0</v>
      </c>
      <c r="GG8" s="17">
        <f t="shared" ca="1" si="25"/>
        <v>0</v>
      </c>
      <c r="GH8" s="17">
        <f t="shared" ca="1" si="25"/>
        <v>0</v>
      </c>
      <c r="GI8" s="17">
        <f t="shared" ca="1" si="25"/>
        <v>0</v>
      </c>
      <c r="GJ8" s="17">
        <f t="shared" ca="1" si="25"/>
        <v>0</v>
      </c>
      <c r="GK8" s="17">
        <f t="shared" ca="1" si="25"/>
        <v>0</v>
      </c>
      <c r="GL8" s="24">
        <f t="shared" ca="1" si="25"/>
        <v>0</v>
      </c>
      <c r="GM8" s="16">
        <f t="shared" ca="1" si="26"/>
        <v>0</v>
      </c>
      <c r="GN8" s="16">
        <f t="shared" ca="1" si="26"/>
        <v>0</v>
      </c>
      <c r="GO8" s="16">
        <f t="shared" ca="1" si="26"/>
        <v>0</v>
      </c>
      <c r="GP8" s="16">
        <f t="shared" ca="1" si="26"/>
        <v>0</v>
      </c>
      <c r="GQ8" s="16">
        <f t="shared" ca="1" si="26"/>
        <v>0</v>
      </c>
      <c r="GR8" s="16">
        <f t="shared" ca="1" si="26"/>
        <v>0</v>
      </c>
      <c r="GS8" s="16">
        <f t="shared" ca="1" si="26"/>
        <v>0</v>
      </c>
      <c r="GT8" s="23">
        <f t="shared" ca="1" si="27"/>
        <v>2</v>
      </c>
      <c r="GU8" s="17">
        <f t="shared" ca="1" si="27"/>
        <v>2</v>
      </c>
      <c r="GV8" s="17">
        <f t="shared" ca="1" si="27"/>
        <v>2</v>
      </c>
      <c r="GW8" s="17">
        <f t="shared" ca="1" si="27"/>
        <v>2</v>
      </c>
      <c r="GX8" s="17">
        <f t="shared" ca="1" si="27"/>
        <v>2</v>
      </c>
      <c r="GY8" s="17">
        <f t="shared" ca="1" si="27"/>
        <v>2</v>
      </c>
      <c r="GZ8" s="24">
        <f t="shared" ca="1" si="27"/>
        <v>2</v>
      </c>
      <c r="HA8" s="16">
        <f t="shared" ca="1" si="28"/>
        <v>0</v>
      </c>
      <c r="HB8" s="16">
        <f t="shared" ca="1" si="28"/>
        <v>0</v>
      </c>
      <c r="HC8" s="16">
        <f t="shared" ca="1" si="28"/>
        <v>0</v>
      </c>
      <c r="HD8" s="16">
        <f t="shared" ca="1" si="28"/>
        <v>0</v>
      </c>
      <c r="HE8" s="16">
        <f t="shared" ca="1" si="28"/>
        <v>0</v>
      </c>
      <c r="HF8" s="16">
        <f t="shared" ca="1" si="28"/>
        <v>0</v>
      </c>
      <c r="HG8" s="16">
        <f t="shared" ca="1" si="28"/>
        <v>0</v>
      </c>
      <c r="HH8" s="18">
        <f t="shared" ca="1" si="28"/>
        <v>0</v>
      </c>
      <c r="HI8" s="19">
        <f t="shared" ca="1" si="29"/>
        <v>2</v>
      </c>
      <c r="HJ8" s="16">
        <f t="shared" ca="1" si="29"/>
        <v>2</v>
      </c>
      <c r="HK8" s="16">
        <f t="shared" ca="1" si="29"/>
        <v>2</v>
      </c>
      <c r="HL8" s="16">
        <f t="shared" ca="1" si="29"/>
        <v>2</v>
      </c>
      <c r="HM8" s="16">
        <f t="shared" ca="1" si="29"/>
        <v>2</v>
      </c>
      <c r="HN8" s="16">
        <f t="shared" ca="1" si="29"/>
        <v>2</v>
      </c>
      <c r="HO8" s="23">
        <f t="shared" ca="1" si="30"/>
        <v>0</v>
      </c>
      <c r="HP8" s="17">
        <f t="shared" ca="1" si="30"/>
        <v>0</v>
      </c>
      <c r="HQ8" s="17">
        <f t="shared" ca="1" si="30"/>
        <v>0</v>
      </c>
      <c r="HR8" s="17">
        <f t="shared" ca="1" si="30"/>
        <v>0</v>
      </c>
      <c r="HS8" s="17">
        <f t="shared" ca="1" si="30"/>
        <v>0</v>
      </c>
      <c r="HT8" s="17">
        <f t="shared" ca="1" si="30"/>
        <v>0</v>
      </c>
      <c r="HU8" s="24">
        <f t="shared" ca="1" si="30"/>
        <v>0</v>
      </c>
      <c r="HV8" s="16">
        <f t="shared" ca="1" si="31"/>
        <v>0</v>
      </c>
      <c r="HW8" s="16">
        <f t="shared" ca="1" si="31"/>
        <v>0</v>
      </c>
      <c r="HX8" s="16">
        <f t="shared" ca="1" si="31"/>
        <v>0</v>
      </c>
      <c r="HY8" s="16">
        <f t="shared" ca="1" si="31"/>
        <v>0</v>
      </c>
      <c r="HZ8" s="16">
        <f t="shared" ca="1" si="31"/>
        <v>0</v>
      </c>
      <c r="IA8" s="16">
        <f t="shared" ca="1" si="31"/>
        <v>0</v>
      </c>
      <c r="IB8" s="16">
        <f t="shared" ca="1" si="31"/>
        <v>0</v>
      </c>
      <c r="IC8" s="23">
        <f t="shared" ca="1" si="32"/>
        <v>2</v>
      </c>
      <c r="ID8" s="17">
        <f t="shared" ca="1" si="32"/>
        <v>2</v>
      </c>
      <c r="IE8" s="17">
        <f t="shared" ca="1" si="32"/>
        <v>2</v>
      </c>
      <c r="IF8" s="17">
        <f t="shared" ca="1" si="32"/>
        <v>2</v>
      </c>
      <c r="IG8" s="17">
        <f t="shared" ca="1" si="32"/>
        <v>2</v>
      </c>
      <c r="IH8" s="17">
        <f t="shared" ca="1" si="32"/>
        <v>2</v>
      </c>
      <c r="II8" s="24">
        <f t="shared" ca="1" si="32"/>
        <v>2</v>
      </c>
      <c r="IJ8" s="16">
        <f t="shared" ca="1" si="33"/>
        <v>0</v>
      </c>
      <c r="IK8" s="16">
        <f t="shared" ca="1" si="33"/>
        <v>0</v>
      </c>
      <c r="IL8" s="16">
        <f t="shared" ca="1" si="33"/>
        <v>0</v>
      </c>
      <c r="IM8" s="16">
        <f t="shared" ca="1" si="33"/>
        <v>0</v>
      </c>
      <c r="IN8" s="16">
        <f t="shared" ca="1" si="33"/>
        <v>0</v>
      </c>
      <c r="IO8" s="16">
        <f t="shared" ca="1" si="33"/>
        <v>0</v>
      </c>
      <c r="IP8" s="16">
        <f t="shared" ca="1" si="33"/>
        <v>0</v>
      </c>
      <c r="IQ8" s="23">
        <f t="shared" ca="1" si="34"/>
        <v>0</v>
      </c>
      <c r="IR8" s="17">
        <f t="shared" ca="1" si="34"/>
        <v>0</v>
      </c>
      <c r="IS8" s="17">
        <f t="shared" ca="1" si="34"/>
        <v>0</v>
      </c>
      <c r="IT8" s="17">
        <f t="shared" ca="1" si="34"/>
        <v>0</v>
      </c>
      <c r="IU8" s="17">
        <f t="shared" ca="1" si="34"/>
        <v>0</v>
      </c>
      <c r="IV8" s="17">
        <f t="shared" ca="1" si="34"/>
        <v>0</v>
      </c>
      <c r="IW8" s="24">
        <f t="shared" ca="1" si="34"/>
        <v>0</v>
      </c>
      <c r="IX8" s="16">
        <f t="shared" ca="1" si="35"/>
        <v>2</v>
      </c>
      <c r="IY8" s="16">
        <f t="shared" ca="1" si="35"/>
        <v>2</v>
      </c>
      <c r="IZ8" s="16">
        <f t="shared" ca="1" si="35"/>
        <v>2</v>
      </c>
      <c r="JA8" s="16">
        <f t="shared" ca="1" si="35"/>
        <v>2</v>
      </c>
      <c r="JB8" s="16">
        <f t="shared" ca="1" si="35"/>
        <v>2</v>
      </c>
      <c r="JC8" s="16">
        <f t="shared" ca="1" si="35"/>
        <v>2</v>
      </c>
      <c r="JD8" s="18">
        <f t="shared" ca="1" si="35"/>
        <v>2</v>
      </c>
    </row>
    <row r="9" spans="1:264" x14ac:dyDescent="0.4">
      <c r="A9" s="2"/>
      <c r="B9" s="2"/>
      <c r="C9" s="2"/>
      <c r="D9" s="2"/>
      <c r="E9" s="2"/>
      <c r="F9" s="2">
        <f ca="1"/>
        <v>-1</v>
      </c>
      <c r="G9" s="2">
        <f ca="1"/>
        <v>-1</v>
      </c>
      <c r="H9" s="14" t="s">
        <v>325</v>
      </c>
      <c r="I9" s="7">
        <f ca="1"/>
        <v>2</v>
      </c>
      <c r="J9" s="2">
        <f ca="1"/>
        <v>3</v>
      </c>
      <c r="M9" s="19">
        <f t="shared" ca="1" si="0"/>
        <v>0</v>
      </c>
      <c r="N9" s="16">
        <f t="shared" ca="1" si="0"/>
        <v>0</v>
      </c>
      <c r="O9" s="16">
        <f t="shared" ca="1" si="0"/>
        <v>0</v>
      </c>
      <c r="P9" s="16">
        <f t="shared" ca="1" si="0"/>
        <v>0</v>
      </c>
      <c r="Q9" s="16">
        <f t="shared" ca="1" si="0"/>
        <v>0</v>
      </c>
      <c r="R9" s="16">
        <f t="shared" ca="1" si="0"/>
        <v>0</v>
      </c>
      <c r="S9" s="18">
        <f t="shared" ca="1" si="0"/>
        <v>0</v>
      </c>
      <c r="T9" s="23">
        <f t="shared" ca="1" si="1"/>
        <v>0</v>
      </c>
      <c r="U9" s="17">
        <f t="shared" ca="1" si="1"/>
        <v>0</v>
      </c>
      <c r="V9" s="17">
        <f t="shared" ca="1" si="1"/>
        <v>0</v>
      </c>
      <c r="W9" s="17">
        <f t="shared" ca="1" si="1"/>
        <v>0</v>
      </c>
      <c r="X9" s="17">
        <f t="shared" ca="1" si="1"/>
        <v>0</v>
      </c>
      <c r="Y9" s="17">
        <f t="shared" ca="1" si="1"/>
        <v>0</v>
      </c>
      <c r="Z9" s="24">
        <f t="shared" ca="1" si="1"/>
        <v>0</v>
      </c>
      <c r="AA9" s="16">
        <f t="shared" ca="1" si="2"/>
        <v>0</v>
      </c>
      <c r="AB9" s="16">
        <f t="shared" ca="1" si="2"/>
        <v>0</v>
      </c>
      <c r="AC9" s="16">
        <f t="shared" ca="1" si="2"/>
        <v>0</v>
      </c>
      <c r="AD9" s="16">
        <f t="shared" ca="1" si="2"/>
        <v>0</v>
      </c>
      <c r="AE9" s="16">
        <f t="shared" ca="1" si="2"/>
        <v>0</v>
      </c>
      <c r="AF9" s="16">
        <f t="shared" ca="1" si="2"/>
        <v>0</v>
      </c>
      <c r="AG9" s="18">
        <f t="shared" ca="1" si="2"/>
        <v>0</v>
      </c>
      <c r="AH9" s="23">
        <f t="shared" ca="1" si="3"/>
        <v>2</v>
      </c>
      <c r="AI9" s="17">
        <f t="shared" ca="1" si="3"/>
        <v>2</v>
      </c>
      <c r="AJ9" s="17">
        <f t="shared" ca="1" si="3"/>
        <v>2</v>
      </c>
      <c r="AK9" s="17">
        <f t="shared" ca="1" si="3"/>
        <v>2</v>
      </c>
      <c r="AL9" s="17">
        <f t="shared" ca="1" si="3"/>
        <v>2</v>
      </c>
      <c r="AM9" s="17">
        <f t="shared" ca="1" si="3"/>
        <v>2</v>
      </c>
      <c r="AN9" s="24">
        <f t="shared" ca="1" si="3"/>
        <v>2</v>
      </c>
      <c r="AO9" s="19">
        <f t="shared" ca="1" si="4"/>
        <v>0</v>
      </c>
      <c r="AP9" s="16">
        <f t="shared" ca="1" si="4"/>
        <v>0</v>
      </c>
      <c r="AQ9" s="16">
        <f t="shared" ca="1" si="4"/>
        <v>0</v>
      </c>
      <c r="AR9" s="16">
        <f t="shared" ca="1" si="4"/>
        <v>0</v>
      </c>
      <c r="AS9" s="16">
        <f t="shared" ca="1" si="4"/>
        <v>0</v>
      </c>
      <c r="AT9" s="16">
        <f t="shared" ca="1" si="4"/>
        <v>0</v>
      </c>
      <c r="AU9" s="16">
        <f t="shared" ca="1" si="4"/>
        <v>0</v>
      </c>
      <c r="AV9" s="18">
        <f t="shared" ca="1" si="4"/>
        <v>0</v>
      </c>
      <c r="AW9" s="19">
        <f t="shared" ca="1" si="5"/>
        <v>2</v>
      </c>
      <c r="AX9" s="16">
        <f t="shared" ca="1" si="5"/>
        <v>2</v>
      </c>
      <c r="AY9" s="16">
        <f t="shared" ca="1" si="5"/>
        <v>2</v>
      </c>
      <c r="AZ9" s="16">
        <f t="shared" ca="1" si="5"/>
        <v>2</v>
      </c>
      <c r="BA9" s="16">
        <f t="shared" ca="1" si="5"/>
        <v>2</v>
      </c>
      <c r="BB9" s="16">
        <f t="shared" ca="1" si="5"/>
        <v>2</v>
      </c>
      <c r="BC9" s="23">
        <f t="shared" ca="1" si="6"/>
        <v>0</v>
      </c>
      <c r="BD9" s="17">
        <f t="shared" ca="1" si="6"/>
        <v>0</v>
      </c>
      <c r="BE9" s="17">
        <f t="shared" ca="1" si="6"/>
        <v>0</v>
      </c>
      <c r="BF9" s="17">
        <f t="shared" ca="1" si="6"/>
        <v>0</v>
      </c>
      <c r="BG9" s="17">
        <f t="shared" ca="1" si="6"/>
        <v>0</v>
      </c>
      <c r="BH9" s="17">
        <f t="shared" ca="1" si="6"/>
        <v>0</v>
      </c>
      <c r="BI9" s="24">
        <f t="shared" ca="1" si="6"/>
        <v>0</v>
      </c>
      <c r="BJ9" s="16">
        <f t="shared" ca="1" si="7"/>
        <v>0</v>
      </c>
      <c r="BK9" s="16">
        <f t="shared" ca="1" si="7"/>
        <v>0</v>
      </c>
      <c r="BL9" s="16">
        <f t="shared" ca="1" si="7"/>
        <v>0</v>
      </c>
      <c r="BM9" s="16">
        <f t="shared" ca="1" si="7"/>
        <v>0</v>
      </c>
      <c r="BN9" s="16">
        <f t="shared" ca="1" si="7"/>
        <v>0</v>
      </c>
      <c r="BO9" s="16">
        <f t="shared" ca="1" si="7"/>
        <v>0</v>
      </c>
      <c r="BP9" s="16">
        <f t="shared" ca="1" si="7"/>
        <v>0</v>
      </c>
      <c r="BQ9" s="23">
        <f t="shared" ca="1" si="8"/>
        <v>2</v>
      </c>
      <c r="BR9" s="17">
        <f t="shared" ca="1" si="8"/>
        <v>2</v>
      </c>
      <c r="BS9" s="17">
        <f t="shared" ca="1" si="8"/>
        <v>2</v>
      </c>
      <c r="BT9" s="17">
        <f t="shared" ca="1" si="8"/>
        <v>2</v>
      </c>
      <c r="BU9" s="17">
        <f t="shared" ca="1" si="8"/>
        <v>2</v>
      </c>
      <c r="BV9" s="17">
        <f t="shared" ca="1" si="8"/>
        <v>2</v>
      </c>
      <c r="BW9" s="24">
        <f t="shared" ca="1" si="8"/>
        <v>2</v>
      </c>
      <c r="BX9" s="16">
        <f t="shared" ca="1" si="9"/>
        <v>0</v>
      </c>
      <c r="BY9" s="16">
        <f t="shared" ca="1" si="9"/>
        <v>0</v>
      </c>
      <c r="BZ9" s="16">
        <f t="shared" ca="1" si="9"/>
        <v>0</v>
      </c>
      <c r="CA9" s="16">
        <f t="shared" ca="1" si="9"/>
        <v>0</v>
      </c>
      <c r="CB9" s="16">
        <f t="shared" ca="1" si="9"/>
        <v>0</v>
      </c>
      <c r="CC9" s="16">
        <f t="shared" ca="1" si="9"/>
        <v>0</v>
      </c>
      <c r="CD9" s="16">
        <f t="shared" ca="1" si="9"/>
        <v>0</v>
      </c>
      <c r="CE9" s="23">
        <f t="shared" ca="1" si="10"/>
        <v>0</v>
      </c>
      <c r="CF9" s="17">
        <f t="shared" ca="1" si="10"/>
        <v>0</v>
      </c>
      <c r="CG9" s="17">
        <f t="shared" ca="1" si="10"/>
        <v>0</v>
      </c>
      <c r="CH9" s="17">
        <f t="shared" ca="1" si="10"/>
        <v>0</v>
      </c>
      <c r="CI9" s="17">
        <f t="shared" ca="1" si="10"/>
        <v>0</v>
      </c>
      <c r="CJ9" s="17">
        <f t="shared" ca="1" si="10"/>
        <v>0</v>
      </c>
      <c r="CK9" s="24">
        <f t="shared" ca="1" si="10"/>
        <v>0</v>
      </c>
      <c r="CL9" s="16">
        <f t="shared" ca="1" si="11"/>
        <v>2</v>
      </c>
      <c r="CM9" s="16">
        <f t="shared" ca="1" si="11"/>
        <v>2</v>
      </c>
      <c r="CN9" s="16">
        <f t="shared" ca="1" si="11"/>
        <v>2</v>
      </c>
      <c r="CO9" s="16">
        <f t="shared" ca="1" si="11"/>
        <v>2</v>
      </c>
      <c r="CP9" s="16">
        <f t="shared" ca="1" si="11"/>
        <v>2</v>
      </c>
      <c r="CQ9" s="16">
        <f t="shared" ca="1" si="11"/>
        <v>2</v>
      </c>
      <c r="CR9" s="18">
        <f t="shared" ca="1" si="11"/>
        <v>2</v>
      </c>
      <c r="CS9" s="19">
        <f t="shared" ca="1" si="12"/>
        <v>0</v>
      </c>
      <c r="CT9" s="16">
        <f t="shared" ca="1" si="12"/>
        <v>0</v>
      </c>
      <c r="CU9" s="16">
        <f t="shared" ca="1" si="12"/>
        <v>0</v>
      </c>
      <c r="CV9" s="16">
        <f t="shared" ca="1" si="12"/>
        <v>0</v>
      </c>
      <c r="CW9" s="16">
        <f t="shared" ca="1" si="12"/>
        <v>0</v>
      </c>
      <c r="CX9" s="16">
        <f t="shared" ca="1" si="12"/>
        <v>0</v>
      </c>
      <c r="CY9" s="16">
        <f t="shared" ca="1" si="12"/>
        <v>0</v>
      </c>
      <c r="CZ9" s="23">
        <f t="shared" ca="1" si="13"/>
        <v>0</v>
      </c>
      <c r="DA9" s="17">
        <f t="shared" ca="1" si="13"/>
        <v>0</v>
      </c>
      <c r="DB9" s="17">
        <f t="shared" ca="1" si="13"/>
        <v>0</v>
      </c>
      <c r="DC9" s="17">
        <f t="shared" ca="1" si="13"/>
        <v>0</v>
      </c>
      <c r="DD9" s="17">
        <f t="shared" ca="1" si="13"/>
        <v>0</v>
      </c>
      <c r="DE9" s="17">
        <f t="shared" ca="1" si="13"/>
        <v>0</v>
      </c>
      <c r="DF9" s="24">
        <f t="shared" ca="1" si="13"/>
        <v>0</v>
      </c>
      <c r="DG9" s="16">
        <f t="shared" ca="1" si="14"/>
        <v>0</v>
      </c>
      <c r="DH9" s="16">
        <f t="shared" ca="1" si="14"/>
        <v>0</v>
      </c>
      <c r="DI9" s="16">
        <f t="shared" ca="1" si="14"/>
        <v>0</v>
      </c>
      <c r="DJ9" s="16">
        <f t="shared" ca="1" si="14"/>
        <v>0</v>
      </c>
      <c r="DK9" s="16">
        <f t="shared" ca="1" si="14"/>
        <v>0</v>
      </c>
      <c r="DL9" s="16">
        <f t="shared" ca="1" si="14"/>
        <v>0</v>
      </c>
      <c r="DM9" s="16">
        <f t="shared" ca="1" si="14"/>
        <v>0</v>
      </c>
      <c r="DN9" s="23">
        <f t="shared" ca="1" si="15"/>
        <v>2</v>
      </c>
      <c r="DO9" s="17">
        <f t="shared" ca="1" si="15"/>
        <v>2</v>
      </c>
      <c r="DP9" s="17">
        <f t="shared" ca="1" si="15"/>
        <v>2</v>
      </c>
      <c r="DQ9" s="17">
        <f t="shared" ca="1" si="15"/>
        <v>2</v>
      </c>
      <c r="DR9" s="17">
        <f t="shared" ca="1" si="15"/>
        <v>2</v>
      </c>
      <c r="DS9" s="17">
        <f t="shared" ca="1" si="15"/>
        <v>2</v>
      </c>
      <c r="DT9" s="24">
        <f t="shared" ca="1" si="15"/>
        <v>2</v>
      </c>
      <c r="DU9" s="16">
        <f t="shared" ca="1" si="16"/>
        <v>0</v>
      </c>
      <c r="DV9" s="16">
        <f t="shared" ca="1" si="16"/>
        <v>0</v>
      </c>
      <c r="DW9" s="16">
        <f t="shared" ca="1" si="16"/>
        <v>0</v>
      </c>
      <c r="DX9" s="16">
        <f t="shared" ca="1" si="16"/>
        <v>0</v>
      </c>
      <c r="DY9" s="16">
        <f t="shared" ca="1" si="16"/>
        <v>0</v>
      </c>
      <c r="DZ9" s="16">
        <f t="shared" ca="1" si="16"/>
        <v>0</v>
      </c>
      <c r="EA9" s="16">
        <f t="shared" ca="1" si="16"/>
        <v>0</v>
      </c>
      <c r="EB9" s="18">
        <f t="shared" ca="1" si="16"/>
        <v>0</v>
      </c>
      <c r="EC9" s="19">
        <f t="shared" ca="1" si="17"/>
        <v>2</v>
      </c>
      <c r="ED9" s="16">
        <f t="shared" ca="1" si="17"/>
        <v>2</v>
      </c>
      <c r="EE9" s="16">
        <f t="shared" ca="1" si="17"/>
        <v>2</v>
      </c>
      <c r="EF9" s="16">
        <f t="shared" ca="1" si="17"/>
        <v>2</v>
      </c>
      <c r="EG9" s="16">
        <f t="shared" ca="1" si="17"/>
        <v>2</v>
      </c>
      <c r="EH9" s="16">
        <f t="shared" ca="1" si="17"/>
        <v>2</v>
      </c>
      <c r="EI9" s="23">
        <f t="shared" ca="1" si="18"/>
        <v>0</v>
      </c>
      <c r="EJ9" s="17">
        <f t="shared" ca="1" si="18"/>
        <v>0</v>
      </c>
      <c r="EK9" s="17">
        <f t="shared" ca="1" si="18"/>
        <v>0</v>
      </c>
      <c r="EL9" s="17">
        <f t="shared" ca="1" si="18"/>
        <v>0</v>
      </c>
      <c r="EM9" s="17">
        <f t="shared" ca="1" si="18"/>
        <v>0</v>
      </c>
      <c r="EN9" s="17">
        <f t="shared" ca="1" si="18"/>
        <v>0</v>
      </c>
      <c r="EO9" s="24">
        <f t="shared" ca="1" si="18"/>
        <v>0</v>
      </c>
      <c r="EP9" s="16">
        <f t="shared" ca="1" si="19"/>
        <v>0</v>
      </c>
      <c r="EQ9" s="16">
        <f t="shared" ca="1" si="19"/>
        <v>0</v>
      </c>
      <c r="ER9" s="16">
        <f t="shared" ca="1" si="19"/>
        <v>0</v>
      </c>
      <c r="ES9" s="16">
        <f t="shared" ca="1" si="19"/>
        <v>0</v>
      </c>
      <c r="ET9" s="16">
        <f t="shared" ca="1" si="19"/>
        <v>0</v>
      </c>
      <c r="EU9" s="16">
        <f t="shared" ca="1" si="19"/>
        <v>0</v>
      </c>
      <c r="EV9" s="16">
        <f t="shared" ca="1" si="19"/>
        <v>0</v>
      </c>
      <c r="EW9" s="23">
        <f t="shared" ca="1" si="20"/>
        <v>2</v>
      </c>
      <c r="EX9" s="17">
        <f t="shared" ca="1" si="20"/>
        <v>2</v>
      </c>
      <c r="EY9" s="17">
        <f t="shared" ca="1" si="20"/>
        <v>2</v>
      </c>
      <c r="EZ9" s="17">
        <f t="shared" ca="1" si="20"/>
        <v>2</v>
      </c>
      <c r="FA9" s="17">
        <f t="shared" ca="1" si="20"/>
        <v>2</v>
      </c>
      <c r="FB9" s="17">
        <f t="shared" ca="1" si="20"/>
        <v>2</v>
      </c>
      <c r="FC9" s="24">
        <f t="shared" ca="1" si="20"/>
        <v>2</v>
      </c>
      <c r="FD9" s="16">
        <f t="shared" ca="1" si="21"/>
        <v>0</v>
      </c>
      <c r="FE9" s="16">
        <f t="shared" ca="1" si="21"/>
        <v>0</v>
      </c>
      <c r="FF9" s="16">
        <f t="shared" ca="1" si="21"/>
        <v>0</v>
      </c>
      <c r="FG9" s="16">
        <f t="shared" ca="1" si="21"/>
        <v>0</v>
      </c>
      <c r="FH9" s="16">
        <f t="shared" ca="1" si="21"/>
        <v>0</v>
      </c>
      <c r="FI9" s="16">
        <f t="shared" ca="1" si="21"/>
        <v>0</v>
      </c>
      <c r="FJ9" s="16">
        <f t="shared" ca="1" si="21"/>
        <v>0</v>
      </c>
      <c r="FK9" s="23">
        <f t="shared" ca="1" si="22"/>
        <v>0</v>
      </c>
      <c r="FL9" s="17">
        <f t="shared" ca="1" si="22"/>
        <v>0</v>
      </c>
      <c r="FM9" s="17">
        <f t="shared" ca="1" si="22"/>
        <v>0</v>
      </c>
      <c r="FN9" s="17">
        <f t="shared" ca="1" si="22"/>
        <v>0</v>
      </c>
      <c r="FO9" s="17">
        <f t="shared" ca="1" si="22"/>
        <v>0</v>
      </c>
      <c r="FP9" s="17">
        <f t="shared" ca="1" si="22"/>
        <v>0</v>
      </c>
      <c r="FQ9" s="24">
        <f t="shared" ca="1" si="22"/>
        <v>0</v>
      </c>
      <c r="FR9" s="16">
        <f t="shared" ca="1" si="23"/>
        <v>2</v>
      </c>
      <c r="FS9" s="16">
        <f t="shared" ca="1" si="23"/>
        <v>2</v>
      </c>
      <c r="FT9" s="16">
        <f t="shared" ca="1" si="23"/>
        <v>2</v>
      </c>
      <c r="FU9" s="16">
        <f t="shared" ca="1" si="23"/>
        <v>2</v>
      </c>
      <c r="FV9" s="16">
        <f t="shared" ca="1" si="23"/>
        <v>2</v>
      </c>
      <c r="FW9" s="16">
        <f t="shared" ca="1" si="23"/>
        <v>2</v>
      </c>
      <c r="FX9" s="18">
        <f t="shared" ca="1" si="23"/>
        <v>2</v>
      </c>
      <c r="FY9" s="19">
        <f t="shared" ca="1" si="24"/>
        <v>0</v>
      </c>
      <c r="FZ9" s="16">
        <f t="shared" ca="1" si="24"/>
        <v>0</v>
      </c>
      <c r="GA9" s="16">
        <f t="shared" ca="1" si="24"/>
        <v>0</v>
      </c>
      <c r="GB9" s="16">
        <f t="shared" ca="1" si="24"/>
        <v>0</v>
      </c>
      <c r="GC9" s="16">
        <f t="shared" ca="1" si="24"/>
        <v>0</v>
      </c>
      <c r="GD9" s="16">
        <f t="shared" ca="1" si="24"/>
        <v>0</v>
      </c>
      <c r="GE9" s="16">
        <f t="shared" ca="1" si="24"/>
        <v>0</v>
      </c>
      <c r="GF9" s="23">
        <f t="shared" ca="1" si="25"/>
        <v>0</v>
      </c>
      <c r="GG9" s="17">
        <f t="shared" ca="1" si="25"/>
        <v>0</v>
      </c>
      <c r="GH9" s="17">
        <f t="shared" ca="1" si="25"/>
        <v>0</v>
      </c>
      <c r="GI9" s="17">
        <f t="shared" ca="1" si="25"/>
        <v>0</v>
      </c>
      <c r="GJ9" s="17">
        <f t="shared" ca="1" si="25"/>
        <v>0</v>
      </c>
      <c r="GK9" s="17">
        <f t="shared" ca="1" si="25"/>
        <v>0</v>
      </c>
      <c r="GL9" s="24">
        <f t="shared" ca="1" si="25"/>
        <v>0</v>
      </c>
      <c r="GM9" s="16">
        <f t="shared" ca="1" si="26"/>
        <v>0</v>
      </c>
      <c r="GN9" s="16">
        <f t="shared" ca="1" si="26"/>
        <v>0</v>
      </c>
      <c r="GO9" s="16">
        <f t="shared" ca="1" si="26"/>
        <v>0</v>
      </c>
      <c r="GP9" s="16">
        <f t="shared" ca="1" si="26"/>
        <v>0</v>
      </c>
      <c r="GQ9" s="16">
        <f t="shared" ca="1" si="26"/>
        <v>0</v>
      </c>
      <c r="GR9" s="16">
        <f t="shared" ca="1" si="26"/>
        <v>0</v>
      </c>
      <c r="GS9" s="16">
        <f t="shared" ca="1" si="26"/>
        <v>0</v>
      </c>
      <c r="GT9" s="23">
        <f t="shared" ca="1" si="27"/>
        <v>2</v>
      </c>
      <c r="GU9" s="17">
        <f t="shared" ca="1" si="27"/>
        <v>2</v>
      </c>
      <c r="GV9" s="17">
        <f t="shared" ca="1" si="27"/>
        <v>2</v>
      </c>
      <c r="GW9" s="17">
        <f t="shared" ca="1" si="27"/>
        <v>2</v>
      </c>
      <c r="GX9" s="17">
        <f t="shared" ca="1" si="27"/>
        <v>2</v>
      </c>
      <c r="GY9" s="17">
        <f t="shared" ca="1" si="27"/>
        <v>2</v>
      </c>
      <c r="GZ9" s="24">
        <f t="shared" ca="1" si="27"/>
        <v>2</v>
      </c>
      <c r="HA9" s="16">
        <f t="shared" ca="1" si="28"/>
        <v>0</v>
      </c>
      <c r="HB9" s="16">
        <f t="shared" ca="1" si="28"/>
        <v>0</v>
      </c>
      <c r="HC9" s="16">
        <f t="shared" ca="1" si="28"/>
        <v>0</v>
      </c>
      <c r="HD9" s="16">
        <f t="shared" ca="1" si="28"/>
        <v>0</v>
      </c>
      <c r="HE9" s="16">
        <f t="shared" ca="1" si="28"/>
        <v>0</v>
      </c>
      <c r="HF9" s="16">
        <f t="shared" ca="1" si="28"/>
        <v>0</v>
      </c>
      <c r="HG9" s="16">
        <f t="shared" ca="1" si="28"/>
        <v>0</v>
      </c>
      <c r="HH9" s="18">
        <f t="shared" ca="1" si="28"/>
        <v>0</v>
      </c>
      <c r="HI9" s="19">
        <f t="shared" ca="1" si="29"/>
        <v>2</v>
      </c>
      <c r="HJ9" s="16">
        <f t="shared" ca="1" si="29"/>
        <v>2</v>
      </c>
      <c r="HK9" s="16">
        <f t="shared" ca="1" si="29"/>
        <v>2</v>
      </c>
      <c r="HL9" s="16">
        <f t="shared" ca="1" si="29"/>
        <v>2</v>
      </c>
      <c r="HM9" s="16">
        <f t="shared" ca="1" si="29"/>
        <v>2</v>
      </c>
      <c r="HN9" s="16">
        <f t="shared" ca="1" si="29"/>
        <v>2</v>
      </c>
      <c r="HO9" s="23">
        <f t="shared" ca="1" si="30"/>
        <v>0</v>
      </c>
      <c r="HP9" s="17">
        <f t="shared" ca="1" si="30"/>
        <v>0</v>
      </c>
      <c r="HQ9" s="17">
        <f t="shared" ca="1" si="30"/>
        <v>0</v>
      </c>
      <c r="HR9" s="17">
        <f t="shared" ca="1" si="30"/>
        <v>0</v>
      </c>
      <c r="HS9" s="17">
        <f t="shared" ca="1" si="30"/>
        <v>0</v>
      </c>
      <c r="HT9" s="17">
        <f t="shared" ca="1" si="30"/>
        <v>0</v>
      </c>
      <c r="HU9" s="24">
        <f t="shared" ca="1" si="30"/>
        <v>0</v>
      </c>
      <c r="HV9" s="16">
        <f t="shared" ca="1" si="31"/>
        <v>0</v>
      </c>
      <c r="HW9" s="16">
        <f t="shared" ca="1" si="31"/>
        <v>0</v>
      </c>
      <c r="HX9" s="16">
        <f t="shared" ca="1" si="31"/>
        <v>0</v>
      </c>
      <c r="HY9" s="16">
        <f t="shared" ca="1" si="31"/>
        <v>0</v>
      </c>
      <c r="HZ9" s="16">
        <f t="shared" ca="1" si="31"/>
        <v>0</v>
      </c>
      <c r="IA9" s="16">
        <f t="shared" ca="1" si="31"/>
        <v>0</v>
      </c>
      <c r="IB9" s="16">
        <f t="shared" ca="1" si="31"/>
        <v>0</v>
      </c>
      <c r="IC9" s="23">
        <f t="shared" ca="1" si="32"/>
        <v>2</v>
      </c>
      <c r="ID9" s="17">
        <f t="shared" ca="1" si="32"/>
        <v>2</v>
      </c>
      <c r="IE9" s="17">
        <f t="shared" ca="1" si="32"/>
        <v>2</v>
      </c>
      <c r="IF9" s="17">
        <f t="shared" ca="1" si="32"/>
        <v>2</v>
      </c>
      <c r="IG9" s="17">
        <f t="shared" ca="1" si="32"/>
        <v>2</v>
      </c>
      <c r="IH9" s="17">
        <f t="shared" ca="1" si="32"/>
        <v>2</v>
      </c>
      <c r="II9" s="24">
        <f t="shared" ca="1" si="32"/>
        <v>2</v>
      </c>
      <c r="IJ9" s="16">
        <f t="shared" ca="1" si="33"/>
        <v>0</v>
      </c>
      <c r="IK9" s="16">
        <f t="shared" ca="1" si="33"/>
        <v>0</v>
      </c>
      <c r="IL9" s="16">
        <f t="shared" ca="1" si="33"/>
        <v>0</v>
      </c>
      <c r="IM9" s="16">
        <f t="shared" ca="1" si="33"/>
        <v>0</v>
      </c>
      <c r="IN9" s="16">
        <f t="shared" ca="1" si="33"/>
        <v>0</v>
      </c>
      <c r="IO9" s="16">
        <f t="shared" ca="1" si="33"/>
        <v>0</v>
      </c>
      <c r="IP9" s="16">
        <f t="shared" ca="1" si="33"/>
        <v>0</v>
      </c>
      <c r="IQ9" s="23">
        <f t="shared" ca="1" si="34"/>
        <v>0</v>
      </c>
      <c r="IR9" s="17">
        <f t="shared" ca="1" si="34"/>
        <v>0</v>
      </c>
      <c r="IS9" s="17">
        <f t="shared" ca="1" si="34"/>
        <v>0</v>
      </c>
      <c r="IT9" s="17">
        <f t="shared" ca="1" si="34"/>
        <v>0</v>
      </c>
      <c r="IU9" s="17">
        <f t="shared" ca="1" si="34"/>
        <v>0</v>
      </c>
      <c r="IV9" s="17">
        <f t="shared" ca="1" si="34"/>
        <v>0</v>
      </c>
      <c r="IW9" s="24">
        <f t="shared" ca="1" si="34"/>
        <v>0</v>
      </c>
      <c r="IX9" s="16">
        <f t="shared" ca="1" si="35"/>
        <v>2</v>
      </c>
      <c r="IY9" s="16">
        <f t="shared" ca="1" si="35"/>
        <v>2</v>
      </c>
      <c r="IZ9" s="16">
        <f t="shared" ca="1" si="35"/>
        <v>2</v>
      </c>
      <c r="JA9" s="16">
        <f t="shared" ca="1" si="35"/>
        <v>2</v>
      </c>
      <c r="JB9" s="16">
        <f t="shared" ca="1" si="35"/>
        <v>2</v>
      </c>
      <c r="JC9" s="16">
        <f t="shared" ca="1" si="35"/>
        <v>2</v>
      </c>
      <c r="JD9" s="18">
        <f t="shared" ca="1" si="35"/>
        <v>2</v>
      </c>
    </row>
    <row r="10" spans="1:264" x14ac:dyDescent="0.4">
      <c r="A10" s="2"/>
      <c r="B10" s="2"/>
      <c r="C10" s="2"/>
      <c r="D10" s="2"/>
      <c r="E10" s="2"/>
      <c r="F10" s="2">
        <f ca="1"/>
        <v>-1</v>
      </c>
      <c r="G10" s="2">
        <f ca="1"/>
        <v>6</v>
      </c>
      <c r="H10" s="14" t="s">
        <v>330</v>
      </c>
      <c r="I10" s="7">
        <f ca="1"/>
        <v>0</v>
      </c>
      <c r="J10" s="2">
        <f ca="1"/>
        <v>1</v>
      </c>
      <c r="M10" s="19">
        <f t="shared" ca="1" si="0"/>
        <v>0</v>
      </c>
      <c r="N10" s="16">
        <f t="shared" ca="1" si="0"/>
        <v>0</v>
      </c>
      <c r="O10" s="16">
        <f t="shared" ca="1" si="0"/>
        <v>0</v>
      </c>
      <c r="P10" s="16">
        <f t="shared" ca="1" si="0"/>
        <v>0</v>
      </c>
      <c r="Q10" s="16">
        <f t="shared" ca="1" si="0"/>
        <v>0</v>
      </c>
      <c r="R10" s="16">
        <f t="shared" ca="1" si="0"/>
        <v>0</v>
      </c>
      <c r="S10" s="18">
        <f t="shared" ca="1" si="0"/>
        <v>0</v>
      </c>
      <c r="T10" s="23">
        <f t="shared" ref="T10:U14" ca="1" si="36">$I$5</f>
        <v>0</v>
      </c>
      <c r="U10" s="17">
        <f t="shared" ca="1" si="36"/>
        <v>0</v>
      </c>
      <c r="V10" s="17">
        <f t="shared" ref="V10:X11" ca="1" si="37">$J$5</f>
        <v>1</v>
      </c>
      <c r="W10" s="17">
        <f t="shared" ca="1" si="37"/>
        <v>1</v>
      </c>
      <c r="X10" s="17">
        <f t="shared" ca="1" si="37"/>
        <v>1</v>
      </c>
      <c r="Y10" s="17">
        <f t="shared" ref="Y10:Z14" ca="1" si="38">$I$5</f>
        <v>0</v>
      </c>
      <c r="Z10" s="24">
        <f t="shared" ca="1" si="38"/>
        <v>0</v>
      </c>
      <c r="AA10" s="16">
        <f t="shared" ca="1" si="2"/>
        <v>0</v>
      </c>
      <c r="AB10" s="16">
        <f t="shared" ca="1" si="2"/>
        <v>0</v>
      </c>
      <c r="AC10" s="16">
        <f t="shared" ca="1" si="2"/>
        <v>0</v>
      </c>
      <c r="AD10" s="16">
        <f t="shared" ca="1" si="2"/>
        <v>0</v>
      </c>
      <c r="AE10" s="16">
        <f t="shared" ca="1" si="2"/>
        <v>0</v>
      </c>
      <c r="AF10" s="16">
        <f t="shared" ca="1" si="2"/>
        <v>0</v>
      </c>
      <c r="AG10" s="18">
        <f t="shared" ca="1" si="2"/>
        <v>0</v>
      </c>
      <c r="AH10" s="23">
        <f t="shared" ref="AH10:AI14" ca="1" si="39">$I$7</f>
        <v>2</v>
      </c>
      <c r="AI10" s="17">
        <f t="shared" ca="1" si="39"/>
        <v>2</v>
      </c>
      <c r="AJ10" s="17">
        <f t="shared" ref="AJ10:AL11" ca="1" si="40">$J$7</f>
        <v>1</v>
      </c>
      <c r="AK10" s="17">
        <f t="shared" ca="1" si="40"/>
        <v>1</v>
      </c>
      <c r="AL10" s="17">
        <f t="shared" ca="1" si="40"/>
        <v>1</v>
      </c>
      <c r="AM10" s="17">
        <f t="shared" ref="AM10:AN14" ca="1" si="41">$I$7</f>
        <v>2</v>
      </c>
      <c r="AN10" s="24">
        <f t="shared" ca="1" si="41"/>
        <v>2</v>
      </c>
      <c r="AO10" s="19">
        <f t="shared" ca="1" si="4"/>
        <v>0</v>
      </c>
      <c r="AP10" s="16">
        <f t="shared" ca="1" si="4"/>
        <v>0</v>
      </c>
      <c r="AQ10" s="16">
        <f t="shared" ca="1" si="4"/>
        <v>0</v>
      </c>
      <c r="AR10" s="16">
        <f t="shared" ca="1" si="4"/>
        <v>0</v>
      </c>
      <c r="AS10" s="16">
        <f t="shared" ca="1" si="4"/>
        <v>0</v>
      </c>
      <c r="AT10" s="16">
        <f t="shared" ca="1" si="4"/>
        <v>0</v>
      </c>
      <c r="AU10" s="16">
        <f t="shared" ca="1" si="4"/>
        <v>0</v>
      </c>
      <c r="AV10" s="18">
        <f t="shared" ca="1" si="4"/>
        <v>0</v>
      </c>
      <c r="AW10" s="19">
        <f t="shared" ca="1" si="5"/>
        <v>2</v>
      </c>
      <c r="AX10" s="16">
        <f t="shared" ca="1" si="5"/>
        <v>2</v>
      </c>
      <c r="AY10" s="16">
        <f t="shared" ca="1" si="5"/>
        <v>2</v>
      </c>
      <c r="AZ10" s="16">
        <f t="shared" ca="1" si="5"/>
        <v>2</v>
      </c>
      <c r="BA10" s="16">
        <f t="shared" ca="1" si="5"/>
        <v>2</v>
      </c>
      <c r="BB10" s="16">
        <f t="shared" ca="1" si="5"/>
        <v>2</v>
      </c>
      <c r="BC10" s="23">
        <f t="shared" ref="BC10:BD14" ca="1" si="42">$I$10</f>
        <v>0</v>
      </c>
      <c r="BD10" s="17">
        <f t="shared" ca="1" si="42"/>
        <v>0</v>
      </c>
      <c r="BE10" s="17">
        <f t="shared" ref="BE10:BG11" ca="1" si="43">$J$10</f>
        <v>1</v>
      </c>
      <c r="BF10" s="17">
        <f t="shared" ca="1" si="43"/>
        <v>1</v>
      </c>
      <c r="BG10" s="17">
        <f t="shared" ca="1" si="43"/>
        <v>1</v>
      </c>
      <c r="BH10" s="17">
        <f t="shared" ref="BH10:BI14" ca="1" si="44">$I$10</f>
        <v>0</v>
      </c>
      <c r="BI10" s="24">
        <f t="shared" ca="1" si="44"/>
        <v>0</v>
      </c>
      <c r="BJ10" s="16">
        <f t="shared" ca="1" si="7"/>
        <v>0</v>
      </c>
      <c r="BK10" s="16">
        <f t="shared" ca="1" si="7"/>
        <v>0</v>
      </c>
      <c r="BL10" s="16">
        <f t="shared" ca="1" si="7"/>
        <v>0</v>
      </c>
      <c r="BM10" s="16">
        <f t="shared" ca="1" si="7"/>
        <v>0</v>
      </c>
      <c r="BN10" s="16">
        <f t="shared" ca="1" si="7"/>
        <v>0</v>
      </c>
      <c r="BO10" s="16">
        <f t="shared" ca="1" si="7"/>
        <v>0</v>
      </c>
      <c r="BP10" s="16">
        <f t="shared" ca="1" si="7"/>
        <v>0</v>
      </c>
      <c r="BQ10" s="23">
        <f t="shared" ref="BQ10:BR14" ca="1" si="45">$I$12</f>
        <v>2</v>
      </c>
      <c r="BR10" s="17">
        <f t="shared" ca="1" si="45"/>
        <v>2</v>
      </c>
      <c r="BS10" s="17">
        <f t="shared" ref="BS10:BU11" ca="1" si="46">$J$12</f>
        <v>5</v>
      </c>
      <c r="BT10" s="17">
        <f t="shared" ca="1" si="46"/>
        <v>5</v>
      </c>
      <c r="BU10" s="17">
        <f t="shared" ca="1" si="46"/>
        <v>5</v>
      </c>
      <c r="BV10" s="17">
        <f t="shared" ref="BV10:BW14" ca="1" si="47">$I$12</f>
        <v>2</v>
      </c>
      <c r="BW10" s="24">
        <f t="shared" ca="1" si="47"/>
        <v>2</v>
      </c>
      <c r="BX10" s="16">
        <f t="shared" ca="1" si="9"/>
        <v>0</v>
      </c>
      <c r="BY10" s="16">
        <f t="shared" ca="1" si="9"/>
        <v>0</v>
      </c>
      <c r="BZ10" s="16">
        <f t="shared" ca="1" si="9"/>
        <v>0</v>
      </c>
      <c r="CA10" s="16">
        <f t="shared" ca="1" si="9"/>
        <v>0</v>
      </c>
      <c r="CB10" s="16">
        <f t="shared" ca="1" si="9"/>
        <v>0</v>
      </c>
      <c r="CC10" s="16">
        <f t="shared" ca="1" si="9"/>
        <v>0</v>
      </c>
      <c r="CD10" s="16">
        <f t="shared" ca="1" si="9"/>
        <v>0</v>
      </c>
      <c r="CE10" s="23">
        <f t="shared" ref="CE10:CF14" ca="1" si="48">$I$14</f>
        <v>0</v>
      </c>
      <c r="CF10" s="17">
        <f t="shared" ca="1" si="48"/>
        <v>0</v>
      </c>
      <c r="CG10" s="17">
        <f t="shared" ref="CG10:CI11" ca="1" si="49">$J$14</f>
        <v>1</v>
      </c>
      <c r="CH10" s="17">
        <f t="shared" ca="1" si="49"/>
        <v>1</v>
      </c>
      <c r="CI10" s="17">
        <f t="shared" ca="1" si="49"/>
        <v>1</v>
      </c>
      <c r="CJ10" s="17">
        <f t="shared" ref="CJ10:CK14" ca="1" si="50">$I$14</f>
        <v>0</v>
      </c>
      <c r="CK10" s="24">
        <f t="shared" ca="1" si="50"/>
        <v>0</v>
      </c>
      <c r="CL10" s="16">
        <f t="shared" ca="1" si="11"/>
        <v>2</v>
      </c>
      <c r="CM10" s="16">
        <f t="shared" ca="1" si="11"/>
        <v>2</v>
      </c>
      <c r="CN10" s="16">
        <f t="shared" ca="1" si="11"/>
        <v>2</v>
      </c>
      <c r="CO10" s="16">
        <f t="shared" ca="1" si="11"/>
        <v>2</v>
      </c>
      <c r="CP10" s="16">
        <f t="shared" ca="1" si="11"/>
        <v>2</v>
      </c>
      <c r="CQ10" s="16">
        <f t="shared" ca="1" si="11"/>
        <v>2</v>
      </c>
      <c r="CR10" s="18">
        <f t="shared" ca="1" si="11"/>
        <v>2</v>
      </c>
      <c r="CS10" s="19">
        <f t="shared" ca="1" si="12"/>
        <v>0</v>
      </c>
      <c r="CT10" s="16">
        <f t="shared" ca="1" si="12"/>
        <v>0</v>
      </c>
      <c r="CU10" s="16">
        <f t="shared" ca="1" si="12"/>
        <v>0</v>
      </c>
      <c r="CV10" s="16">
        <f t="shared" ca="1" si="12"/>
        <v>0</v>
      </c>
      <c r="CW10" s="16">
        <f t="shared" ca="1" si="12"/>
        <v>0</v>
      </c>
      <c r="CX10" s="16">
        <f t="shared" ca="1" si="12"/>
        <v>0</v>
      </c>
      <c r="CY10" s="16">
        <f t="shared" ca="1" si="12"/>
        <v>0</v>
      </c>
      <c r="CZ10" s="23">
        <f t="shared" ref="CZ10:DA14" ca="1" si="51">$I$5</f>
        <v>0</v>
      </c>
      <c r="DA10" s="17">
        <f t="shared" ca="1" si="51"/>
        <v>0</v>
      </c>
      <c r="DB10" s="17">
        <f t="shared" ref="DB10:DD11" ca="1" si="52">$J$5</f>
        <v>1</v>
      </c>
      <c r="DC10" s="17">
        <f t="shared" ca="1" si="52"/>
        <v>1</v>
      </c>
      <c r="DD10" s="17">
        <f t="shared" ca="1" si="52"/>
        <v>1</v>
      </c>
      <c r="DE10" s="17">
        <f t="shared" ref="DE10:DF14" ca="1" si="53">$I$5</f>
        <v>0</v>
      </c>
      <c r="DF10" s="24">
        <f t="shared" ca="1" si="53"/>
        <v>0</v>
      </c>
      <c r="DG10" s="16">
        <f t="shared" ca="1" si="14"/>
        <v>0</v>
      </c>
      <c r="DH10" s="16">
        <f t="shared" ca="1" si="14"/>
        <v>0</v>
      </c>
      <c r="DI10" s="16">
        <f t="shared" ca="1" si="14"/>
        <v>0</v>
      </c>
      <c r="DJ10" s="16">
        <f t="shared" ca="1" si="14"/>
        <v>0</v>
      </c>
      <c r="DK10" s="16">
        <f t="shared" ca="1" si="14"/>
        <v>0</v>
      </c>
      <c r="DL10" s="16">
        <f t="shared" ca="1" si="14"/>
        <v>0</v>
      </c>
      <c r="DM10" s="16">
        <f t="shared" ca="1" si="14"/>
        <v>0</v>
      </c>
      <c r="DN10" s="23">
        <f t="shared" ref="DN10:DO14" ca="1" si="54">$I$7</f>
        <v>2</v>
      </c>
      <c r="DO10" s="17">
        <f t="shared" ca="1" si="54"/>
        <v>2</v>
      </c>
      <c r="DP10" s="17">
        <f t="shared" ref="DP10:DR11" ca="1" si="55">$J$7</f>
        <v>1</v>
      </c>
      <c r="DQ10" s="17">
        <f t="shared" ca="1" si="55"/>
        <v>1</v>
      </c>
      <c r="DR10" s="17">
        <f t="shared" ca="1" si="55"/>
        <v>1</v>
      </c>
      <c r="DS10" s="17">
        <f t="shared" ref="DS10:DT14" ca="1" si="56">$I$7</f>
        <v>2</v>
      </c>
      <c r="DT10" s="24">
        <f t="shared" ca="1" si="56"/>
        <v>2</v>
      </c>
      <c r="DU10" s="16">
        <f t="shared" ca="1" si="16"/>
        <v>0</v>
      </c>
      <c r="DV10" s="16">
        <f t="shared" ca="1" si="16"/>
        <v>0</v>
      </c>
      <c r="DW10" s="16">
        <f t="shared" ca="1" si="16"/>
        <v>0</v>
      </c>
      <c r="DX10" s="16">
        <f t="shared" ca="1" si="16"/>
        <v>0</v>
      </c>
      <c r="DY10" s="16">
        <f t="shared" ca="1" si="16"/>
        <v>0</v>
      </c>
      <c r="DZ10" s="16">
        <f t="shared" ca="1" si="16"/>
        <v>0</v>
      </c>
      <c r="EA10" s="16">
        <f t="shared" ca="1" si="16"/>
        <v>0</v>
      </c>
      <c r="EB10" s="18">
        <f t="shared" ca="1" si="16"/>
        <v>0</v>
      </c>
      <c r="EC10" s="19">
        <f t="shared" ca="1" si="17"/>
        <v>2</v>
      </c>
      <c r="ED10" s="16">
        <f t="shared" ca="1" si="17"/>
        <v>2</v>
      </c>
      <c r="EE10" s="16">
        <f t="shared" ca="1" si="17"/>
        <v>2</v>
      </c>
      <c r="EF10" s="16">
        <f t="shared" ca="1" si="17"/>
        <v>2</v>
      </c>
      <c r="EG10" s="16">
        <f t="shared" ca="1" si="17"/>
        <v>2</v>
      </c>
      <c r="EH10" s="16">
        <f t="shared" ca="1" si="17"/>
        <v>2</v>
      </c>
      <c r="EI10" s="23">
        <f t="shared" ref="EI10:EJ14" ca="1" si="57">$I$10</f>
        <v>0</v>
      </c>
      <c r="EJ10" s="17">
        <f t="shared" ca="1" si="57"/>
        <v>0</v>
      </c>
      <c r="EK10" s="17">
        <f t="shared" ref="EK10:EM11" ca="1" si="58">$J$10</f>
        <v>1</v>
      </c>
      <c r="EL10" s="17">
        <f t="shared" ca="1" si="58"/>
        <v>1</v>
      </c>
      <c r="EM10" s="17">
        <f t="shared" ca="1" si="58"/>
        <v>1</v>
      </c>
      <c r="EN10" s="17">
        <f t="shared" ref="EN10:EO14" ca="1" si="59">$I$10</f>
        <v>0</v>
      </c>
      <c r="EO10" s="24">
        <f t="shared" ca="1" si="59"/>
        <v>0</v>
      </c>
      <c r="EP10" s="16">
        <f t="shared" ca="1" si="19"/>
        <v>0</v>
      </c>
      <c r="EQ10" s="16">
        <f t="shared" ca="1" si="19"/>
        <v>0</v>
      </c>
      <c r="ER10" s="16">
        <f t="shared" ca="1" si="19"/>
        <v>0</v>
      </c>
      <c r="ES10" s="16">
        <f t="shared" ca="1" si="19"/>
        <v>0</v>
      </c>
      <c r="ET10" s="16">
        <f t="shared" ca="1" si="19"/>
        <v>0</v>
      </c>
      <c r="EU10" s="16">
        <f t="shared" ca="1" si="19"/>
        <v>0</v>
      </c>
      <c r="EV10" s="16">
        <f t="shared" ca="1" si="19"/>
        <v>0</v>
      </c>
      <c r="EW10" s="23">
        <f t="shared" ref="EW10:EX14" ca="1" si="60">$I$12</f>
        <v>2</v>
      </c>
      <c r="EX10" s="17">
        <f t="shared" ca="1" si="60"/>
        <v>2</v>
      </c>
      <c r="EY10" s="17">
        <f t="shared" ref="EY10:FA11" ca="1" si="61">$J$12</f>
        <v>5</v>
      </c>
      <c r="EZ10" s="17">
        <f t="shared" ca="1" si="61"/>
        <v>5</v>
      </c>
      <c r="FA10" s="17">
        <f t="shared" ca="1" si="61"/>
        <v>5</v>
      </c>
      <c r="FB10" s="17">
        <f t="shared" ref="FB10:FC14" ca="1" si="62">$I$12</f>
        <v>2</v>
      </c>
      <c r="FC10" s="24">
        <f t="shared" ca="1" si="62"/>
        <v>2</v>
      </c>
      <c r="FD10" s="16">
        <f t="shared" ca="1" si="21"/>
        <v>0</v>
      </c>
      <c r="FE10" s="16">
        <f t="shared" ca="1" si="21"/>
        <v>0</v>
      </c>
      <c r="FF10" s="16">
        <f t="shared" ca="1" si="21"/>
        <v>0</v>
      </c>
      <c r="FG10" s="16">
        <f t="shared" ca="1" si="21"/>
        <v>0</v>
      </c>
      <c r="FH10" s="16">
        <f t="shared" ca="1" si="21"/>
        <v>0</v>
      </c>
      <c r="FI10" s="16">
        <f t="shared" ca="1" si="21"/>
        <v>0</v>
      </c>
      <c r="FJ10" s="16">
        <f t="shared" ca="1" si="21"/>
        <v>0</v>
      </c>
      <c r="FK10" s="23">
        <f t="shared" ref="FK10:FL14" ca="1" si="63">$I$14</f>
        <v>0</v>
      </c>
      <c r="FL10" s="17">
        <f t="shared" ca="1" si="63"/>
        <v>0</v>
      </c>
      <c r="FM10" s="17">
        <f t="shared" ref="FM10:FO11" ca="1" si="64">$J$14</f>
        <v>1</v>
      </c>
      <c r="FN10" s="17">
        <f t="shared" ca="1" si="64"/>
        <v>1</v>
      </c>
      <c r="FO10" s="17">
        <f t="shared" ca="1" si="64"/>
        <v>1</v>
      </c>
      <c r="FP10" s="17">
        <f t="shared" ref="FP10:FQ14" ca="1" si="65">$I$14</f>
        <v>0</v>
      </c>
      <c r="FQ10" s="24">
        <f t="shared" ca="1" si="65"/>
        <v>0</v>
      </c>
      <c r="FR10" s="16">
        <f t="shared" ca="1" si="23"/>
        <v>2</v>
      </c>
      <c r="FS10" s="16">
        <f t="shared" ca="1" si="23"/>
        <v>2</v>
      </c>
      <c r="FT10" s="16">
        <f t="shared" ca="1" si="23"/>
        <v>2</v>
      </c>
      <c r="FU10" s="16">
        <f t="shared" ca="1" si="23"/>
        <v>2</v>
      </c>
      <c r="FV10" s="16">
        <f t="shared" ca="1" si="23"/>
        <v>2</v>
      </c>
      <c r="FW10" s="16">
        <f t="shared" ca="1" si="23"/>
        <v>2</v>
      </c>
      <c r="FX10" s="18">
        <f t="shared" ca="1" si="23"/>
        <v>2</v>
      </c>
      <c r="FY10" s="19">
        <f t="shared" ca="1" si="24"/>
        <v>0</v>
      </c>
      <c r="FZ10" s="16">
        <f t="shared" ca="1" si="24"/>
        <v>0</v>
      </c>
      <c r="GA10" s="16">
        <f t="shared" ca="1" si="24"/>
        <v>0</v>
      </c>
      <c r="GB10" s="16">
        <f t="shared" ca="1" si="24"/>
        <v>0</v>
      </c>
      <c r="GC10" s="16">
        <f t="shared" ca="1" si="24"/>
        <v>0</v>
      </c>
      <c r="GD10" s="16">
        <f t="shared" ca="1" si="24"/>
        <v>0</v>
      </c>
      <c r="GE10" s="16">
        <f t="shared" ca="1" si="24"/>
        <v>0</v>
      </c>
      <c r="GF10" s="23">
        <f t="shared" ref="GF10:GG14" ca="1" si="66">$I$5</f>
        <v>0</v>
      </c>
      <c r="GG10" s="17">
        <f t="shared" ca="1" si="66"/>
        <v>0</v>
      </c>
      <c r="GH10" s="17">
        <f t="shared" ref="GH10:GJ11" ca="1" si="67">$J$5</f>
        <v>1</v>
      </c>
      <c r="GI10" s="17">
        <f t="shared" ca="1" si="67"/>
        <v>1</v>
      </c>
      <c r="GJ10" s="17">
        <f t="shared" ca="1" si="67"/>
        <v>1</v>
      </c>
      <c r="GK10" s="17">
        <f t="shared" ref="GK10:GL14" ca="1" si="68">$I$5</f>
        <v>0</v>
      </c>
      <c r="GL10" s="24">
        <f t="shared" ca="1" si="68"/>
        <v>0</v>
      </c>
      <c r="GM10" s="16">
        <f t="shared" ca="1" si="26"/>
        <v>0</v>
      </c>
      <c r="GN10" s="16">
        <f t="shared" ca="1" si="26"/>
        <v>0</v>
      </c>
      <c r="GO10" s="16">
        <f t="shared" ca="1" si="26"/>
        <v>0</v>
      </c>
      <c r="GP10" s="16">
        <f t="shared" ca="1" si="26"/>
        <v>0</v>
      </c>
      <c r="GQ10" s="16">
        <f t="shared" ca="1" si="26"/>
        <v>0</v>
      </c>
      <c r="GR10" s="16">
        <f t="shared" ca="1" si="26"/>
        <v>0</v>
      </c>
      <c r="GS10" s="16">
        <f t="shared" ca="1" si="26"/>
        <v>0</v>
      </c>
      <c r="GT10" s="23">
        <f t="shared" ref="GT10:GU14" ca="1" si="69">$I$7</f>
        <v>2</v>
      </c>
      <c r="GU10" s="17">
        <f t="shared" ca="1" si="69"/>
        <v>2</v>
      </c>
      <c r="GV10" s="17">
        <f t="shared" ref="GV10:GX11" ca="1" si="70">$J$7</f>
        <v>1</v>
      </c>
      <c r="GW10" s="17">
        <f t="shared" ca="1" si="70"/>
        <v>1</v>
      </c>
      <c r="GX10" s="17">
        <f t="shared" ca="1" si="70"/>
        <v>1</v>
      </c>
      <c r="GY10" s="17">
        <f t="shared" ref="GY10:GZ14" ca="1" si="71">$I$7</f>
        <v>2</v>
      </c>
      <c r="GZ10" s="24">
        <f t="shared" ca="1" si="71"/>
        <v>2</v>
      </c>
      <c r="HA10" s="16">
        <f t="shared" ca="1" si="28"/>
        <v>0</v>
      </c>
      <c r="HB10" s="16">
        <f t="shared" ca="1" si="28"/>
        <v>0</v>
      </c>
      <c r="HC10" s="16">
        <f t="shared" ca="1" si="28"/>
        <v>0</v>
      </c>
      <c r="HD10" s="16">
        <f t="shared" ca="1" si="28"/>
        <v>0</v>
      </c>
      <c r="HE10" s="16">
        <f t="shared" ca="1" si="28"/>
        <v>0</v>
      </c>
      <c r="HF10" s="16">
        <f t="shared" ca="1" si="28"/>
        <v>0</v>
      </c>
      <c r="HG10" s="16">
        <f t="shared" ca="1" si="28"/>
        <v>0</v>
      </c>
      <c r="HH10" s="18">
        <f t="shared" ca="1" si="28"/>
        <v>0</v>
      </c>
      <c r="HI10" s="19">
        <f t="shared" ca="1" si="29"/>
        <v>2</v>
      </c>
      <c r="HJ10" s="16">
        <f t="shared" ca="1" si="29"/>
        <v>2</v>
      </c>
      <c r="HK10" s="16">
        <f t="shared" ca="1" si="29"/>
        <v>2</v>
      </c>
      <c r="HL10" s="16">
        <f t="shared" ca="1" si="29"/>
        <v>2</v>
      </c>
      <c r="HM10" s="16">
        <f t="shared" ca="1" si="29"/>
        <v>2</v>
      </c>
      <c r="HN10" s="16">
        <f t="shared" ca="1" si="29"/>
        <v>2</v>
      </c>
      <c r="HO10" s="23">
        <f t="shared" ref="HO10:HP14" ca="1" si="72">$I$10</f>
        <v>0</v>
      </c>
      <c r="HP10" s="17">
        <f t="shared" ca="1" si="72"/>
        <v>0</v>
      </c>
      <c r="HQ10" s="17">
        <f t="shared" ref="HQ10:HS11" ca="1" si="73">$J$10</f>
        <v>1</v>
      </c>
      <c r="HR10" s="17">
        <f t="shared" ca="1" si="73"/>
        <v>1</v>
      </c>
      <c r="HS10" s="17">
        <f t="shared" ca="1" si="73"/>
        <v>1</v>
      </c>
      <c r="HT10" s="17">
        <f t="shared" ref="HT10:HU14" ca="1" si="74">$I$10</f>
        <v>0</v>
      </c>
      <c r="HU10" s="24">
        <f t="shared" ca="1" si="74"/>
        <v>0</v>
      </c>
      <c r="HV10" s="16">
        <f t="shared" ca="1" si="31"/>
        <v>0</v>
      </c>
      <c r="HW10" s="16">
        <f t="shared" ca="1" si="31"/>
        <v>0</v>
      </c>
      <c r="HX10" s="16">
        <f t="shared" ca="1" si="31"/>
        <v>0</v>
      </c>
      <c r="HY10" s="16">
        <f t="shared" ca="1" si="31"/>
        <v>0</v>
      </c>
      <c r="HZ10" s="16">
        <f t="shared" ca="1" si="31"/>
        <v>0</v>
      </c>
      <c r="IA10" s="16">
        <f t="shared" ca="1" si="31"/>
        <v>0</v>
      </c>
      <c r="IB10" s="16">
        <f t="shared" ca="1" si="31"/>
        <v>0</v>
      </c>
      <c r="IC10" s="23">
        <f t="shared" ref="IC10:ID14" ca="1" si="75">$I$12</f>
        <v>2</v>
      </c>
      <c r="ID10" s="17">
        <f t="shared" ca="1" si="75"/>
        <v>2</v>
      </c>
      <c r="IE10" s="17">
        <f t="shared" ref="IE10:IG11" ca="1" si="76">$J$12</f>
        <v>5</v>
      </c>
      <c r="IF10" s="17">
        <f t="shared" ca="1" si="76"/>
        <v>5</v>
      </c>
      <c r="IG10" s="17">
        <f t="shared" ca="1" si="76"/>
        <v>5</v>
      </c>
      <c r="IH10" s="17">
        <f t="shared" ref="IH10:II14" ca="1" si="77">$I$12</f>
        <v>2</v>
      </c>
      <c r="II10" s="24">
        <f t="shared" ca="1" si="77"/>
        <v>2</v>
      </c>
      <c r="IJ10" s="16">
        <f t="shared" ca="1" si="33"/>
        <v>0</v>
      </c>
      <c r="IK10" s="16">
        <f t="shared" ca="1" si="33"/>
        <v>0</v>
      </c>
      <c r="IL10" s="16">
        <f t="shared" ca="1" si="33"/>
        <v>0</v>
      </c>
      <c r="IM10" s="16">
        <f t="shared" ca="1" si="33"/>
        <v>0</v>
      </c>
      <c r="IN10" s="16">
        <f t="shared" ca="1" si="33"/>
        <v>0</v>
      </c>
      <c r="IO10" s="16">
        <f t="shared" ca="1" si="33"/>
        <v>0</v>
      </c>
      <c r="IP10" s="16">
        <f t="shared" ca="1" si="33"/>
        <v>0</v>
      </c>
      <c r="IQ10" s="23">
        <f t="shared" ref="IQ10:IR14" ca="1" si="78">$I$14</f>
        <v>0</v>
      </c>
      <c r="IR10" s="17">
        <f t="shared" ca="1" si="78"/>
        <v>0</v>
      </c>
      <c r="IS10" s="17">
        <f t="shared" ref="IS10:IU11" ca="1" si="79">$J$14</f>
        <v>1</v>
      </c>
      <c r="IT10" s="17">
        <f t="shared" ca="1" si="79"/>
        <v>1</v>
      </c>
      <c r="IU10" s="17">
        <f t="shared" ca="1" si="79"/>
        <v>1</v>
      </c>
      <c r="IV10" s="17">
        <f t="shared" ref="IV10:IW14" ca="1" si="80">$I$14</f>
        <v>0</v>
      </c>
      <c r="IW10" s="24">
        <f t="shared" ca="1" si="80"/>
        <v>0</v>
      </c>
      <c r="IX10" s="16">
        <f t="shared" ca="1" si="35"/>
        <v>2</v>
      </c>
      <c r="IY10" s="16">
        <f t="shared" ca="1" si="35"/>
        <v>2</v>
      </c>
      <c r="IZ10" s="16">
        <f t="shared" ca="1" si="35"/>
        <v>2</v>
      </c>
      <c r="JA10" s="16">
        <f t="shared" ca="1" si="35"/>
        <v>2</v>
      </c>
      <c r="JB10" s="16">
        <f t="shared" ca="1" si="35"/>
        <v>2</v>
      </c>
      <c r="JC10" s="16">
        <f t="shared" ca="1" si="35"/>
        <v>2</v>
      </c>
      <c r="JD10" s="18">
        <f t="shared" ca="1" si="35"/>
        <v>2</v>
      </c>
    </row>
    <row r="11" spans="1:264" x14ac:dyDescent="0.4">
      <c r="A11" s="2"/>
      <c r="B11" s="2"/>
      <c r="C11" s="2"/>
      <c r="D11" s="2"/>
      <c r="E11" s="2"/>
      <c r="F11" s="2">
        <f ca="1"/>
        <v>-1</v>
      </c>
      <c r="G11" s="2">
        <f ca="1"/>
        <v>-1</v>
      </c>
      <c r="H11" s="14" t="s">
        <v>326</v>
      </c>
      <c r="I11" s="7">
        <f ca="1"/>
        <v>0</v>
      </c>
      <c r="J11" s="2">
        <f ca="1"/>
        <v>0</v>
      </c>
      <c r="M11" s="19">
        <f t="shared" ca="1" si="0"/>
        <v>0</v>
      </c>
      <c r="N11" s="16">
        <f t="shared" ca="1" si="0"/>
        <v>0</v>
      </c>
      <c r="O11" s="16">
        <f t="shared" ca="1" si="0"/>
        <v>0</v>
      </c>
      <c r="P11" s="16">
        <f t="shared" ca="1" si="0"/>
        <v>0</v>
      </c>
      <c r="Q11" s="16">
        <f t="shared" ca="1" si="0"/>
        <v>0</v>
      </c>
      <c r="R11" s="16">
        <f t="shared" ca="1" si="0"/>
        <v>0</v>
      </c>
      <c r="S11" s="18">
        <f t="shared" ca="1" si="0"/>
        <v>0</v>
      </c>
      <c r="T11" s="23">
        <f t="shared" ca="1" si="36"/>
        <v>0</v>
      </c>
      <c r="U11" s="17">
        <f t="shared" ca="1" si="36"/>
        <v>0</v>
      </c>
      <c r="V11" s="17">
        <f t="shared" ca="1" si="37"/>
        <v>1</v>
      </c>
      <c r="W11" s="17">
        <f t="shared" ca="1" si="37"/>
        <v>1</v>
      </c>
      <c r="X11" s="17">
        <f t="shared" ca="1" si="37"/>
        <v>1</v>
      </c>
      <c r="Y11" s="17">
        <f t="shared" ca="1" si="38"/>
        <v>0</v>
      </c>
      <c r="Z11" s="24">
        <f t="shared" ca="1" si="38"/>
        <v>0</v>
      </c>
      <c r="AA11" s="16">
        <f t="shared" ca="1" si="2"/>
        <v>0</v>
      </c>
      <c r="AB11" s="16">
        <f t="shared" ca="1" si="2"/>
        <v>0</v>
      </c>
      <c r="AC11" s="16">
        <f t="shared" ca="1" si="2"/>
        <v>0</v>
      </c>
      <c r="AD11" s="16">
        <f t="shared" ca="1" si="2"/>
        <v>0</v>
      </c>
      <c r="AE11" s="16">
        <f t="shared" ca="1" si="2"/>
        <v>0</v>
      </c>
      <c r="AF11" s="16">
        <f t="shared" ca="1" si="2"/>
        <v>0</v>
      </c>
      <c r="AG11" s="18">
        <f t="shared" ca="1" si="2"/>
        <v>0</v>
      </c>
      <c r="AH11" s="23">
        <f t="shared" ca="1" si="39"/>
        <v>2</v>
      </c>
      <c r="AI11" s="17">
        <f t="shared" ca="1" si="39"/>
        <v>2</v>
      </c>
      <c r="AJ11" s="17">
        <f t="shared" ca="1" si="40"/>
        <v>1</v>
      </c>
      <c r="AK11" s="17">
        <f t="shared" ca="1" si="40"/>
        <v>1</v>
      </c>
      <c r="AL11" s="17">
        <f t="shared" ca="1" si="40"/>
        <v>1</v>
      </c>
      <c r="AM11" s="17">
        <f t="shared" ca="1" si="41"/>
        <v>2</v>
      </c>
      <c r="AN11" s="24">
        <f t="shared" ca="1" si="41"/>
        <v>2</v>
      </c>
      <c r="AO11" s="19">
        <f t="shared" ca="1" si="4"/>
        <v>0</v>
      </c>
      <c r="AP11" s="16">
        <f t="shared" ca="1" si="4"/>
        <v>0</v>
      </c>
      <c r="AQ11" s="16">
        <f t="shared" ca="1" si="4"/>
        <v>0</v>
      </c>
      <c r="AR11" s="16">
        <f t="shared" ca="1" si="4"/>
        <v>0</v>
      </c>
      <c r="AS11" s="16">
        <f t="shared" ca="1" si="4"/>
        <v>0</v>
      </c>
      <c r="AT11" s="16">
        <f t="shared" ca="1" si="4"/>
        <v>0</v>
      </c>
      <c r="AU11" s="16">
        <f t="shared" ca="1" si="4"/>
        <v>0</v>
      </c>
      <c r="AV11" s="18">
        <f t="shared" ca="1" si="4"/>
        <v>0</v>
      </c>
      <c r="AW11" s="19">
        <f t="shared" ca="1" si="5"/>
        <v>2</v>
      </c>
      <c r="AX11" s="16">
        <f t="shared" ca="1" si="5"/>
        <v>2</v>
      </c>
      <c r="AY11" s="16">
        <f t="shared" ca="1" si="5"/>
        <v>2</v>
      </c>
      <c r="AZ11" s="16">
        <f t="shared" ca="1" si="5"/>
        <v>2</v>
      </c>
      <c r="BA11" s="16">
        <f t="shared" ca="1" si="5"/>
        <v>2</v>
      </c>
      <c r="BB11" s="16">
        <f t="shared" ca="1" si="5"/>
        <v>2</v>
      </c>
      <c r="BC11" s="23">
        <f t="shared" ca="1" si="42"/>
        <v>0</v>
      </c>
      <c r="BD11" s="17">
        <f t="shared" ca="1" si="42"/>
        <v>0</v>
      </c>
      <c r="BE11" s="17">
        <f t="shared" ca="1" si="43"/>
        <v>1</v>
      </c>
      <c r="BF11" s="17">
        <f t="shared" ca="1" si="43"/>
        <v>1</v>
      </c>
      <c r="BG11" s="17">
        <f t="shared" ca="1" si="43"/>
        <v>1</v>
      </c>
      <c r="BH11" s="17">
        <f t="shared" ca="1" si="44"/>
        <v>0</v>
      </c>
      <c r="BI11" s="24">
        <f t="shared" ca="1" si="44"/>
        <v>0</v>
      </c>
      <c r="BJ11" s="16">
        <f t="shared" ca="1" si="7"/>
        <v>0</v>
      </c>
      <c r="BK11" s="16">
        <f t="shared" ca="1" si="7"/>
        <v>0</v>
      </c>
      <c r="BL11" s="16">
        <f t="shared" ca="1" si="7"/>
        <v>0</v>
      </c>
      <c r="BM11" s="16">
        <f t="shared" ca="1" si="7"/>
        <v>0</v>
      </c>
      <c r="BN11" s="16">
        <f t="shared" ca="1" si="7"/>
        <v>0</v>
      </c>
      <c r="BO11" s="16">
        <f t="shared" ca="1" si="7"/>
        <v>0</v>
      </c>
      <c r="BP11" s="16">
        <f t="shared" ca="1" si="7"/>
        <v>0</v>
      </c>
      <c r="BQ11" s="23">
        <f t="shared" ca="1" si="45"/>
        <v>2</v>
      </c>
      <c r="BR11" s="17">
        <f t="shared" ca="1" si="45"/>
        <v>2</v>
      </c>
      <c r="BS11" s="17">
        <f t="shared" ca="1" si="46"/>
        <v>5</v>
      </c>
      <c r="BT11" s="17">
        <f t="shared" ca="1" si="46"/>
        <v>5</v>
      </c>
      <c r="BU11" s="17">
        <f t="shared" ca="1" si="46"/>
        <v>5</v>
      </c>
      <c r="BV11" s="17">
        <f t="shared" ca="1" si="47"/>
        <v>2</v>
      </c>
      <c r="BW11" s="24">
        <f t="shared" ca="1" si="47"/>
        <v>2</v>
      </c>
      <c r="BX11" s="16">
        <f t="shared" ca="1" si="9"/>
        <v>0</v>
      </c>
      <c r="BY11" s="16">
        <f t="shared" ca="1" si="9"/>
        <v>0</v>
      </c>
      <c r="BZ11" s="16">
        <f t="shared" ca="1" si="9"/>
        <v>0</v>
      </c>
      <c r="CA11" s="16">
        <f t="shared" ca="1" si="9"/>
        <v>0</v>
      </c>
      <c r="CB11" s="16">
        <f t="shared" ca="1" si="9"/>
        <v>0</v>
      </c>
      <c r="CC11" s="16">
        <f t="shared" ca="1" si="9"/>
        <v>0</v>
      </c>
      <c r="CD11" s="16">
        <f t="shared" ca="1" si="9"/>
        <v>0</v>
      </c>
      <c r="CE11" s="23">
        <f t="shared" ca="1" si="48"/>
        <v>0</v>
      </c>
      <c r="CF11" s="17">
        <f t="shared" ca="1" si="48"/>
        <v>0</v>
      </c>
      <c r="CG11" s="17">
        <f t="shared" ca="1" si="49"/>
        <v>1</v>
      </c>
      <c r="CH11" s="17">
        <f t="shared" ca="1" si="49"/>
        <v>1</v>
      </c>
      <c r="CI11" s="17">
        <f t="shared" ca="1" si="49"/>
        <v>1</v>
      </c>
      <c r="CJ11" s="17">
        <f t="shared" ca="1" si="50"/>
        <v>0</v>
      </c>
      <c r="CK11" s="24">
        <f t="shared" ca="1" si="50"/>
        <v>0</v>
      </c>
      <c r="CL11" s="16">
        <f t="shared" ca="1" si="11"/>
        <v>2</v>
      </c>
      <c r="CM11" s="16">
        <f t="shared" ca="1" si="11"/>
        <v>2</v>
      </c>
      <c r="CN11" s="16">
        <f t="shared" ca="1" si="11"/>
        <v>2</v>
      </c>
      <c r="CO11" s="16">
        <f t="shared" ca="1" si="11"/>
        <v>2</v>
      </c>
      <c r="CP11" s="16">
        <f t="shared" ca="1" si="11"/>
        <v>2</v>
      </c>
      <c r="CQ11" s="16">
        <f t="shared" ca="1" si="11"/>
        <v>2</v>
      </c>
      <c r="CR11" s="18">
        <f t="shared" ca="1" si="11"/>
        <v>2</v>
      </c>
      <c r="CS11" s="19">
        <f t="shared" ca="1" si="12"/>
        <v>0</v>
      </c>
      <c r="CT11" s="16">
        <f t="shared" ca="1" si="12"/>
        <v>0</v>
      </c>
      <c r="CU11" s="16">
        <f t="shared" ca="1" si="12"/>
        <v>0</v>
      </c>
      <c r="CV11" s="16">
        <f t="shared" ca="1" si="12"/>
        <v>0</v>
      </c>
      <c r="CW11" s="16">
        <f t="shared" ca="1" si="12"/>
        <v>0</v>
      </c>
      <c r="CX11" s="16">
        <f t="shared" ca="1" si="12"/>
        <v>0</v>
      </c>
      <c r="CY11" s="16">
        <f t="shared" ca="1" si="12"/>
        <v>0</v>
      </c>
      <c r="CZ11" s="23">
        <f t="shared" ca="1" si="51"/>
        <v>0</v>
      </c>
      <c r="DA11" s="17">
        <f t="shared" ca="1" si="51"/>
        <v>0</v>
      </c>
      <c r="DB11" s="17">
        <f t="shared" ca="1" si="52"/>
        <v>1</v>
      </c>
      <c r="DC11" s="17">
        <f t="shared" ca="1" si="52"/>
        <v>1</v>
      </c>
      <c r="DD11" s="17">
        <f t="shared" ca="1" si="52"/>
        <v>1</v>
      </c>
      <c r="DE11" s="17">
        <f t="shared" ca="1" si="53"/>
        <v>0</v>
      </c>
      <c r="DF11" s="24">
        <f t="shared" ca="1" si="53"/>
        <v>0</v>
      </c>
      <c r="DG11" s="16">
        <f t="shared" ca="1" si="14"/>
        <v>0</v>
      </c>
      <c r="DH11" s="16">
        <f t="shared" ca="1" si="14"/>
        <v>0</v>
      </c>
      <c r="DI11" s="16">
        <f t="shared" ca="1" si="14"/>
        <v>0</v>
      </c>
      <c r="DJ11" s="16">
        <f t="shared" ca="1" si="14"/>
        <v>0</v>
      </c>
      <c r="DK11" s="16">
        <f t="shared" ca="1" si="14"/>
        <v>0</v>
      </c>
      <c r="DL11" s="16">
        <f t="shared" ca="1" si="14"/>
        <v>0</v>
      </c>
      <c r="DM11" s="16">
        <f t="shared" ca="1" si="14"/>
        <v>0</v>
      </c>
      <c r="DN11" s="23">
        <f t="shared" ca="1" si="54"/>
        <v>2</v>
      </c>
      <c r="DO11" s="17">
        <f t="shared" ca="1" si="54"/>
        <v>2</v>
      </c>
      <c r="DP11" s="17">
        <f t="shared" ca="1" si="55"/>
        <v>1</v>
      </c>
      <c r="DQ11" s="17">
        <f t="shared" ca="1" si="55"/>
        <v>1</v>
      </c>
      <c r="DR11" s="17">
        <f t="shared" ca="1" si="55"/>
        <v>1</v>
      </c>
      <c r="DS11" s="17">
        <f t="shared" ca="1" si="56"/>
        <v>2</v>
      </c>
      <c r="DT11" s="24">
        <f t="shared" ca="1" si="56"/>
        <v>2</v>
      </c>
      <c r="DU11" s="16">
        <f t="shared" ca="1" si="16"/>
        <v>0</v>
      </c>
      <c r="DV11" s="16">
        <f t="shared" ca="1" si="16"/>
        <v>0</v>
      </c>
      <c r="DW11" s="16">
        <f t="shared" ca="1" si="16"/>
        <v>0</v>
      </c>
      <c r="DX11" s="16">
        <f t="shared" ca="1" si="16"/>
        <v>0</v>
      </c>
      <c r="DY11" s="16">
        <f t="shared" ca="1" si="16"/>
        <v>0</v>
      </c>
      <c r="DZ11" s="16">
        <f t="shared" ca="1" si="16"/>
        <v>0</v>
      </c>
      <c r="EA11" s="16">
        <f t="shared" ca="1" si="16"/>
        <v>0</v>
      </c>
      <c r="EB11" s="18">
        <f t="shared" ca="1" si="16"/>
        <v>0</v>
      </c>
      <c r="EC11" s="19">
        <f t="shared" ca="1" si="17"/>
        <v>2</v>
      </c>
      <c r="ED11" s="16">
        <f t="shared" ca="1" si="17"/>
        <v>2</v>
      </c>
      <c r="EE11" s="16">
        <f t="shared" ca="1" si="17"/>
        <v>2</v>
      </c>
      <c r="EF11" s="16">
        <f t="shared" ca="1" si="17"/>
        <v>2</v>
      </c>
      <c r="EG11" s="16">
        <f t="shared" ca="1" si="17"/>
        <v>2</v>
      </c>
      <c r="EH11" s="16">
        <f t="shared" ca="1" si="17"/>
        <v>2</v>
      </c>
      <c r="EI11" s="23">
        <f t="shared" ca="1" si="57"/>
        <v>0</v>
      </c>
      <c r="EJ11" s="17">
        <f t="shared" ca="1" si="57"/>
        <v>0</v>
      </c>
      <c r="EK11" s="17">
        <f t="shared" ca="1" si="58"/>
        <v>1</v>
      </c>
      <c r="EL11" s="17">
        <f t="shared" ca="1" si="58"/>
        <v>1</v>
      </c>
      <c r="EM11" s="17">
        <f t="shared" ca="1" si="58"/>
        <v>1</v>
      </c>
      <c r="EN11" s="17">
        <f t="shared" ca="1" si="59"/>
        <v>0</v>
      </c>
      <c r="EO11" s="24">
        <f t="shared" ca="1" si="59"/>
        <v>0</v>
      </c>
      <c r="EP11" s="16">
        <f t="shared" ca="1" si="19"/>
        <v>0</v>
      </c>
      <c r="EQ11" s="16">
        <f t="shared" ca="1" si="19"/>
        <v>0</v>
      </c>
      <c r="ER11" s="16">
        <f t="shared" ca="1" si="19"/>
        <v>0</v>
      </c>
      <c r="ES11" s="16">
        <f t="shared" ca="1" si="19"/>
        <v>0</v>
      </c>
      <c r="ET11" s="16">
        <f t="shared" ca="1" si="19"/>
        <v>0</v>
      </c>
      <c r="EU11" s="16">
        <f t="shared" ca="1" si="19"/>
        <v>0</v>
      </c>
      <c r="EV11" s="16">
        <f t="shared" ca="1" si="19"/>
        <v>0</v>
      </c>
      <c r="EW11" s="23">
        <f t="shared" ca="1" si="60"/>
        <v>2</v>
      </c>
      <c r="EX11" s="17">
        <f t="shared" ca="1" si="60"/>
        <v>2</v>
      </c>
      <c r="EY11" s="17">
        <f t="shared" ca="1" si="61"/>
        <v>5</v>
      </c>
      <c r="EZ11" s="17">
        <f t="shared" ca="1" si="61"/>
        <v>5</v>
      </c>
      <c r="FA11" s="17">
        <f t="shared" ca="1" si="61"/>
        <v>5</v>
      </c>
      <c r="FB11" s="17">
        <f t="shared" ca="1" si="62"/>
        <v>2</v>
      </c>
      <c r="FC11" s="24">
        <f t="shared" ca="1" si="62"/>
        <v>2</v>
      </c>
      <c r="FD11" s="16">
        <f t="shared" ca="1" si="21"/>
        <v>0</v>
      </c>
      <c r="FE11" s="16">
        <f t="shared" ca="1" si="21"/>
        <v>0</v>
      </c>
      <c r="FF11" s="16">
        <f t="shared" ca="1" si="21"/>
        <v>0</v>
      </c>
      <c r="FG11" s="16">
        <f t="shared" ca="1" si="21"/>
        <v>0</v>
      </c>
      <c r="FH11" s="16">
        <f t="shared" ca="1" si="21"/>
        <v>0</v>
      </c>
      <c r="FI11" s="16">
        <f t="shared" ca="1" si="21"/>
        <v>0</v>
      </c>
      <c r="FJ11" s="16">
        <f t="shared" ca="1" si="21"/>
        <v>0</v>
      </c>
      <c r="FK11" s="23">
        <f t="shared" ca="1" si="63"/>
        <v>0</v>
      </c>
      <c r="FL11" s="17">
        <f t="shared" ca="1" si="63"/>
        <v>0</v>
      </c>
      <c r="FM11" s="17">
        <f t="shared" ca="1" si="64"/>
        <v>1</v>
      </c>
      <c r="FN11" s="17">
        <f t="shared" ca="1" si="64"/>
        <v>1</v>
      </c>
      <c r="FO11" s="17">
        <f t="shared" ca="1" si="64"/>
        <v>1</v>
      </c>
      <c r="FP11" s="17">
        <f t="shared" ca="1" si="65"/>
        <v>0</v>
      </c>
      <c r="FQ11" s="24">
        <f t="shared" ca="1" si="65"/>
        <v>0</v>
      </c>
      <c r="FR11" s="16">
        <f t="shared" ca="1" si="23"/>
        <v>2</v>
      </c>
      <c r="FS11" s="16">
        <f t="shared" ca="1" si="23"/>
        <v>2</v>
      </c>
      <c r="FT11" s="16">
        <f t="shared" ca="1" si="23"/>
        <v>2</v>
      </c>
      <c r="FU11" s="16">
        <f t="shared" ca="1" si="23"/>
        <v>2</v>
      </c>
      <c r="FV11" s="16">
        <f t="shared" ca="1" si="23"/>
        <v>2</v>
      </c>
      <c r="FW11" s="16">
        <f t="shared" ca="1" si="23"/>
        <v>2</v>
      </c>
      <c r="FX11" s="18">
        <f t="shared" ca="1" si="23"/>
        <v>2</v>
      </c>
      <c r="FY11" s="19">
        <f t="shared" ca="1" si="24"/>
        <v>0</v>
      </c>
      <c r="FZ11" s="16">
        <f t="shared" ca="1" si="24"/>
        <v>0</v>
      </c>
      <c r="GA11" s="16">
        <f t="shared" ca="1" si="24"/>
        <v>0</v>
      </c>
      <c r="GB11" s="16">
        <f t="shared" ca="1" si="24"/>
        <v>0</v>
      </c>
      <c r="GC11" s="16">
        <f t="shared" ca="1" si="24"/>
        <v>0</v>
      </c>
      <c r="GD11" s="16">
        <f t="shared" ca="1" si="24"/>
        <v>0</v>
      </c>
      <c r="GE11" s="16">
        <f t="shared" ca="1" si="24"/>
        <v>0</v>
      </c>
      <c r="GF11" s="23">
        <f t="shared" ca="1" si="66"/>
        <v>0</v>
      </c>
      <c r="GG11" s="17">
        <f t="shared" ca="1" si="66"/>
        <v>0</v>
      </c>
      <c r="GH11" s="17">
        <f t="shared" ca="1" si="67"/>
        <v>1</v>
      </c>
      <c r="GI11" s="17">
        <f t="shared" ca="1" si="67"/>
        <v>1</v>
      </c>
      <c r="GJ11" s="17">
        <f t="shared" ca="1" si="67"/>
        <v>1</v>
      </c>
      <c r="GK11" s="17">
        <f t="shared" ca="1" si="68"/>
        <v>0</v>
      </c>
      <c r="GL11" s="24">
        <f t="shared" ca="1" si="68"/>
        <v>0</v>
      </c>
      <c r="GM11" s="16">
        <f t="shared" ca="1" si="26"/>
        <v>0</v>
      </c>
      <c r="GN11" s="16">
        <f t="shared" ca="1" si="26"/>
        <v>0</v>
      </c>
      <c r="GO11" s="16">
        <f t="shared" ca="1" si="26"/>
        <v>0</v>
      </c>
      <c r="GP11" s="16">
        <f t="shared" ca="1" si="26"/>
        <v>0</v>
      </c>
      <c r="GQ11" s="16">
        <f t="shared" ca="1" si="26"/>
        <v>0</v>
      </c>
      <c r="GR11" s="16">
        <f t="shared" ca="1" si="26"/>
        <v>0</v>
      </c>
      <c r="GS11" s="16">
        <f t="shared" ca="1" si="26"/>
        <v>0</v>
      </c>
      <c r="GT11" s="23">
        <f t="shared" ca="1" si="69"/>
        <v>2</v>
      </c>
      <c r="GU11" s="17">
        <f t="shared" ca="1" si="69"/>
        <v>2</v>
      </c>
      <c r="GV11" s="17">
        <f t="shared" ca="1" si="70"/>
        <v>1</v>
      </c>
      <c r="GW11" s="17">
        <f t="shared" ca="1" si="70"/>
        <v>1</v>
      </c>
      <c r="GX11" s="17">
        <f t="shared" ca="1" si="70"/>
        <v>1</v>
      </c>
      <c r="GY11" s="17">
        <f t="shared" ca="1" si="71"/>
        <v>2</v>
      </c>
      <c r="GZ11" s="24">
        <f t="shared" ca="1" si="71"/>
        <v>2</v>
      </c>
      <c r="HA11" s="16">
        <f t="shared" ca="1" si="28"/>
        <v>0</v>
      </c>
      <c r="HB11" s="16">
        <f t="shared" ca="1" si="28"/>
        <v>0</v>
      </c>
      <c r="HC11" s="16">
        <f t="shared" ca="1" si="28"/>
        <v>0</v>
      </c>
      <c r="HD11" s="16">
        <f t="shared" ca="1" si="28"/>
        <v>0</v>
      </c>
      <c r="HE11" s="16">
        <f t="shared" ca="1" si="28"/>
        <v>0</v>
      </c>
      <c r="HF11" s="16">
        <f t="shared" ca="1" si="28"/>
        <v>0</v>
      </c>
      <c r="HG11" s="16">
        <f t="shared" ca="1" si="28"/>
        <v>0</v>
      </c>
      <c r="HH11" s="18">
        <f t="shared" ca="1" si="28"/>
        <v>0</v>
      </c>
      <c r="HI11" s="19">
        <f t="shared" ca="1" si="29"/>
        <v>2</v>
      </c>
      <c r="HJ11" s="16">
        <f t="shared" ca="1" si="29"/>
        <v>2</v>
      </c>
      <c r="HK11" s="16">
        <f t="shared" ca="1" si="29"/>
        <v>2</v>
      </c>
      <c r="HL11" s="16">
        <f t="shared" ca="1" si="29"/>
        <v>2</v>
      </c>
      <c r="HM11" s="16">
        <f t="shared" ca="1" si="29"/>
        <v>2</v>
      </c>
      <c r="HN11" s="16">
        <f t="shared" ca="1" si="29"/>
        <v>2</v>
      </c>
      <c r="HO11" s="23">
        <f t="shared" ca="1" si="72"/>
        <v>0</v>
      </c>
      <c r="HP11" s="17">
        <f t="shared" ca="1" si="72"/>
        <v>0</v>
      </c>
      <c r="HQ11" s="17">
        <f t="shared" ca="1" si="73"/>
        <v>1</v>
      </c>
      <c r="HR11" s="17">
        <f t="shared" ca="1" si="73"/>
        <v>1</v>
      </c>
      <c r="HS11" s="17">
        <f t="shared" ca="1" si="73"/>
        <v>1</v>
      </c>
      <c r="HT11" s="17">
        <f t="shared" ca="1" si="74"/>
        <v>0</v>
      </c>
      <c r="HU11" s="24">
        <f t="shared" ca="1" si="74"/>
        <v>0</v>
      </c>
      <c r="HV11" s="16">
        <f t="shared" ca="1" si="31"/>
        <v>0</v>
      </c>
      <c r="HW11" s="16">
        <f t="shared" ca="1" si="31"/>
        <v>0</v>
      </c>
      <c r="HX11" s="16">
        <f t="shared" ca="1" si="31"/>
        <v>0</v>
      </c>
      <c r="HY11" s="16">
        <f t="shared" ca="1" si="31"/>
        <v>0</v>
      </c>
      <c r="HZ11" s="16">
        <f t="shared" ca="1" si="31"/>
        <v>0</v>
      </c>
      <c r="IA11" s="16">
        <f t="shared" ca="1" si="31"/>
        <v>0</v>
      </c>
      <c r="IB11" s="16">
        <f t="shared" ca="1" si="31"/>
        <v>0</v>
      </c>
      <c r="IC11" s="23">
        <f t="shared" ca="1" si="75"/>
        <v>2</v>
      </c>
      <c r="ID11" s="17">
        <f t="shared" ca="1" si="75"/>
        <v>2</v>
      </c>
      <c r="IE11" s="17">
        <f t="shared" ca="1" si="76"/>
        <v>5</v>
      </c>
      <c r="IF11" s="17">
        <f t="shared" ca="1" si="76"/>
        <v>5</v>
      </c>
      <c r="IG11" s="17">
        <f t="shared" ca="1" si="76"/>
        <v>5</v>
      </c>
      <c r="IH11" s="17">
        <f t="shared" ca="1" si="77"/>
        <v>2</v>
      </c>
      <c r="II11" s="24">
        <f t="shared" ca="1" si="77"/>
        <v>2</v>
      </c>
      <c r="IJ11" s="16">
        <f t="shared" ca="1" si="33"/>
        <v>0</v>
      </c>
      <c r="IK11" s="16">
        <f t="shared" ca="1" si="33"/>
        <v>0</v>
      </c>
      <c r="IL11" s="16">
        <f t="shared" ca="1" si="33"/>
        <v>0</v>
      </c>
      <c r="IM11" s="16">
        <f t="shared" ca="1" si="33"/>
        <v>0</v>
      </c>
      <c r="IN11" s="16">
        <f t="shared" ca="1" si="33"/>
        <v>0</v>
      </c>
      <c r="IO11" s="16">
        <f t="shared" ca="1" si="33"/>
        <v>0</v>
      </c>
      <c r="IP11" s="16">
        <f t="shared" ca="1" si="33"/>
        <v>0</v>
      </c>
      <c r="IQ11" s="23">
        <f t="shared" ca="1" si="78"/>
        <v>0</v>
      </c>
      <c r="IR11" s="17">
        <f t="shared" ca="1" si="78"/>
        <v>0</v>
      </c>
      <c r="IS11" s="17">
        <f t="shared" ca="1" si="79"/>
        <v>1</v>
      </c>
      <c r="IT11" s="17">
        <f t="shared" ca="1" si="79"/>
        <v>1</v>
      </c>
      <c r="IU11" s="17">
        <f t="shared" ca="1" si="79"/>
        <v>1</v>
      </c>
      <c r="IV11" s="17">
        <f t="shared" ca="1" si="80"/>
        <v>0</v>
      </c>
      <c r="IW11" s="24">
        <f t="shared" ca="1" si="80"/>
        <v>0</v>
      </c>
      <c r="IX11" s="16">
        <f t="shared" ca="1" si="35"/>
        <v>2</v>
      </c>
      <c r="IY11" s="16">
        <f t="shared" ca="1" si="35"/>
        <v>2</v>
      </c>
      <c r="IZ11" s="16">
        <f t="shared" ca="1" si="35"/>
        <v>2</v>
      </c>
      <c r="JA11" s="16">
        <f t="shared" ca="1" si="35"/>
        <v>2</v>
      </c>
      <c r="JB11" s="16">
        <f t="shared" ca="1" si="35"/>
        <v>2</v>
      </c>
      <c r="JC11" s="16">
        <f t="shared" ca="1" si="35"/>
        <v>2</v>
      </c>
      <c r="JD11" s="18">
        <f t="shared" ca="1" si="35"/>
        <v>2</v>
      </c>
    </row>
    <row r="12" spans="1:264" x14ac:dyDescent="0.4">
      <c r="A12" s="2"/>
      <c r="B12" s="2"/>
      <c r="C12" s="2"/>
      <c r="D12" s="2"/>
      <c r="E12" s="2"/>
      <c r="F12" s="2"/>
      <c r="G12" s="2">
        <f ca="1"/>
        <v>-1</v>
      </c>
      <c r="H12" s="14" t="s">
        <v>331</v>
      </c>
      <c r="I12" s="7">
        <f ca="1"/>
        <v>2</v>
      </c>
      <c r="J12" s="2">
        <f ca="1"/>
        <v>5</v>
      </c>
      <c r="M12" s="19">
        <f t="shared" ref="M12:S17" ca="1" si="81">$I$4</f>
        <v>0</v>
      </c>
      <c r="N12" s="16">
        <f t="shared" ca="1" si="81"/>
        <v>0</v>
      </c>
      <c r="O12" s="16">
        <f t="shared" ca="1" si="81"/>
        <v>0</v>
      </c>
      <c r="P12" s="16">
        <f t="shared" ca="1" si="81"/>
        <v>0</v>
      </c>
      <c r="Q12" s="16">
        <f t="shared" ca="1" si="81"/>
        <v>0</v>
      </c>
      <c r="R12" s="16">
        <f t="shared" ca="1" si="81"/>
        <v>0</v>
      </c>
      <c r="S12" s="18">
        <f t="shared" ca="1" si="81"/>
        <v>0</v>
      </c>
      <c r="T12" s="23">
        <f t="shared" ca="1" si="36"/>
        <v>0</v>
      </c>
      <c r="U12" s="17">
        <f t="shared" ca="1" si="36"/>
        <v>0</v>
      </c>
      <c r="V12" s="17">
        <f t="shared" ref="V12:X14" ca="1" si="82">$I$5</f>
        <v>0</v>
      </c>
      <c r="W12" s="17">
        <f t="shared" ca="1" si="82"/>
        <v>0</v>
      </c>
      <c r="X12" s="17">
        <f t="shared" ca="1" si="82"/>
        <v>0</v>
      </c>
      <c r="Y12" s="17">
        <f t="shared" ca="1" si="38"/>
        <v>0</v>
      </c>
      <c r="Z12" s="24">
        <f t="shared" ca="1" si="38"/>
        <v>0</v>
      </c>
      <c r="AA12" s="16">
        <f t="shared" ref="AA12:AG17" ca="1" si="83">$I$6</f>
        <v>0</v>
      </c>
      <c r="AB12" s="16">
        <f t="shared" ca="1" si="83"/>
        <v>0</v>
      </c>
      <c r="AC12" s="16">
        <f t="shared" ca="1" si="83"/>
        <v>0</v>
      </c>
      <c r="AD12" s="16">
        <f t="shared" ca="1" si="83"/>
        <v>0</v>
      </c>
      <c r="AE12" s="16">
        <f t="shared" ca="1" si="83"/>
        <v>0</v>
      </c>
      <c r="AF12" s="16">
        <f t="shared" ca="1" si="83"/>
        <v>0</v>
      </c>
      <c r="AG12" s="18">
        <f t="shared" ca="1" si="83"/>
        <v>0</v>
      </c>
      <c r="AH12" s="23">
        <f t="shared" ca="1" si="39"/>
        <v>2</v>
      </c>
      <c r="AI12" s="17">
        <f t="shared" ca="1" si="39"/>
        <v>2</v>
      </c>
      <c r="AJ12" s="17">
        <f t="shared" ref="AJ12:AL14" ca="1" si="84">$I$7</f>
        <v>2</v>
      </c>
      <c r="AK12" s="17">
        <f t="shared" ca="1" si="84"/>
        <v>2</v>
      </c>
      <c r="AL12" s="17">
        <f t="shared" ca="1" si="84"/>
        <v>2</v>
      </c>
      <c r="AM12" s="17">
        <f t="shared" ca="1" si="41"/>
        <v>2</v>
      </c>
      <c r="AN12" s="24">
        <f t="shared" ca="1" si="41"/>
        <v>2</v>
      </c>
      <c r="AO12" s="19">
        <f t="shared" ref="AO12:AV17" ca="1" si="85">$I$8</f>
        <v>0</v>
      </c>
      <c r="AP12" s="16">
        <f t="shared" ca="1" si="85"/>
        <v>0</v>
      </c>
      <c r="AQ12" s="16">
        <f t="shared" ca="1" si="85"/>
        <v>0</v>
      </c>
      <c r="AR12" s="16">
        <f t="shared" ca="1" si="85"/>
        <v>0</v>
      </c>
      <c r="AS12" s="16">
        <f t="shared" ca="1" si="85"/>
        <v>0</v>
      </c>
      <c r="AT12" s="16">
        <f t="shared" ca="1" si="85"/>
        <v>0</v>
      </c>
      <c r="AU12" s="16">
        <f t="shared" ca="1" si="85"/>
        <v>0</v>
      </c>
      <c r="AV12" s="18">
        <f t="shared" ca="1" si="85"/>
        <v>0</v>
      </c>
      <c r="AW12" s="19">
        <f t="shared" ref="AW12:BB17" ca="1" si="86">$I$9</f>
        <v>2</v>
      </c>
      <c r="AX12" s="16">
        <f t="shared" ca="1" si="86"/>
        <v>2</v>
      </c>
      <c r="AY12" s="16">
        <f t="shared" ca="1" si="86"/>
        <v>2</v>
      </c>
      <c r="AZ12" s="16">
        <f t="shared" ca="1" si="86"/>
        <v>2</v>
      </c>
      <c r="BA12" s="16">
        <f t="shared" ca="1" si="86"/>
        <v>2</v>
      </c>
      <c r="BB12" s="16">
        <f t="shared" ca="1" si="86"/>
        <v>2</v>
      </c>
      <c r="BC12" s="23">
        <f t="shared" ca="1" si="42"/>
        <v>0</v>
      </c>
      <c r="BD12" s="17">
        <f t="shared" ca="1" si="42"/>
        <v>0</v>
      </c>
      <c r="BE12" s="17">
        <f t="shared" ref="BE12:BG14" ca="1" si="87">$I$10</f>
        <v>0</v>
      </c>
      <c r="BF12" s="17">
        <f t="shared" ca="1" si="87"/>
        <v>0</v>
      </c>
      <c r="BG12" s="17">
        <f t="shared" ca="1" si="87"/>
        <v>0</v>
      </c>
      <c r="BH12" s="17">
        <f t="shared" ca="1" si="44"/>
        <v>0</v>
      </c>
      <c r="BI12" s="24">
        <f t="shared" ca="1" si="44"/>
        <v>0</v>
      </c>
      <c r="BJ12" s="16">
        <f t="shared" ref="BJ12:BP17" ca="1" si="88">$I$11</f>
        <v>0</v>
      </c>
      <c r="BK12" s="16">
        <f t="shared" ca="1" si="88"/>
        <v>0</v>
      </c>
      <c r="BL12" s="16">
        <f t="shared" ca="1" si="88"/>
        <v>0</v>
      </c>
      <c r="BM12" s="16">
        <f t="shared" ca="1" si="88"/>
        <v>0</v>
      </c>
      <c r="BN12" s="16">
        <f t="shared" ca="1" si="88"/>
        <v>0</v>
      </c>
      <c r="BO12" s="16">
        <f t="shared" ca="1" si="88"/>
        <v>0</v>
      </c>
      <c r="BP12" s="16">
        <f t="shared" ca="1" si="88"/>
        <v>0</v>
      </c>
      <c r="BQ12" s="23">
        <f t="shared" ca="1" si="45"/>
        <v>2</v>
      </c>
      <c r="BR12" s="17">
        <f t="shared" ca="1" si="45"/>
        <v>2</v>
      </c>
      <c r="BS12" s="17">
        <f t="shared" ref="BS12:BU14" ca="1" si="89">$I$12</f>
        <v>2</v>
      </c>
      <c r="BT12" s="17">
        <f t="shared" ca="1" si="89"/>
        <v>2</v>
      </c>
      <c r="BU12" s="17">
        <f t="shared" ca="1" si="89"/>
        <v>2</v>
      </c>
      <c r="BV12" s="17">
        <f t="shared" ca="1" si="47"/>
        <v>2</v>
      </c>
      <c r="BW12" s="24">
        <f t="shared" ca="1" si="47"/>
        <v>2</v>
      </c>
      <c r="BX12" s="16">
        <f t="shared" ref="BX12:CD17" ca="1" si="90">$I$13</f>
        <v>0</v>
      </c>
      <c r="BY12" s="16">
        <f t="shared" ca="1" si="90"/>
        <v>0</v>
      </c>
      <c r="BZ12" s="16">
        <f t="shared" ca="1" si="90"/>
        <v>0</v>
      </c>
      <c r="CA12" s="16">
        <f t="shared" ca="1" si="90"/>
        <v>0</v>
      </c>
      <c r="CB12" s="16">
        <f t="shared" ca="1" si="90"/>
        <v>0</v>
      </c>
      <c r="CC12" s="16">
        <f t="shared" ca="1" si="90"/>
        <v>0</v>
      </c>
      <c r="CD12" s="16">
        <f t="shared" ca="1" si="90"/>
        <v>0</v>
      </c>
      <c r="CE12" s="23">
        <f t="shared" ca="1" si="48"/>
        <v>0</v>
      </c>
      <c r="CF12" s="17">
        <f t="shared" ca="1" si="48"/>
        <v>0</v>
      </c>
      <c r="CG12" s="17">
        <f t="shared" ref="CG12:CI14" ca="1" si="91">$I$14</f>
        <v>0</v>
      </c>
      <c r="CH12" s="17">
        <f t="shared" ca="1" si="91"/>
        <v>0</v>
      </c>
      <c r="CI12" s="17">
        <f t="shared" ca="1" si="91"/>
        <v>0</v>
      </c>
      <c r="CJ12" s="17">
        <f t="shared" ca="1" si="50"/>
        <v>0</v>
      </c>
      <c r="CK12" s="24">
        <f t="shared" ca="1" si="50"/>
        <v>0</v>
      </c>
      <c r="CL12" s="16">
        <f t="shared" ref="CL12:CR17" ca="1" si="92">$I$15</f>
        <v>2</v>
      </c>
      <c r="CM12" s="16">
        <f t="shared" ca="1" si="92"/>
        <v>2</v>
      </c>
      <c r="CN12" s="16">
        <f t="shared" ca="1" si="92"/>
        <v>2</v>
      </c>
      <c r="CO12" s="16">
        <f t="shared" ca="1" si="92"/>
        <v>2</v>
      </c>
      <c r="CP12" s="16">
        <f t="shared" ca="1" si="92"/>
        <v>2</v>
      </c>
      <c r="CQ12" s="16">
        <f t="shared" ca="1" si="92"/>
        <v>2</v>
      </c>
      <c r="CR12" s="18">
        <f t="shared" ca="1" si="92"/>
        <v>2</v>
      </c>
      <c r="CS12" s="19">
        <f t="shared" ref="CS12:CY17" ca="1" si="93">$I$4</f>
        <v>0</v>
      </c>
      <c r="CT12" s="16">
        <f t="shared" ca="1" si="93"/>
        <v>0</v>
      </c>
      <c r="CU12" s="16">
        <f t="shared" ca="1" si="93"/>
        <v>0</v>
      </c>
      <c r="CV12" s="16">
        <f t="shared" ca="1" si="93"/>
        <v>0</v>
      </c>
      <c r="CW12" s="16">
        <f t="shared" ca="1" si="93"/>
        <v>0</v>
      </c>
      <c r="CX12" s="16">
        <f t="shared" ca="1" si="93"/>
        <v>0</v>
      </c>
      <c r="CY12" s="16">
        <f t="shared" ca="1" si="93"/>
        <v>0</v>
      </c>
      <c r="CZ12" s="23">
        <f t="shared" ca="1" si="51"/>
        <v>0</v>
      </c>
      <c r="DA12" s="17">
        <f t="shared" ca="1" si="51"/>
        <v>0</v>
      </c>
      <c r="DB12" s="17">
        <f t="shared" ref="DB12:DD14" ca="1" si="94">$I$5</f>
        <v>0</v>
      </c>
      <c r="DC12" s="17">
        <f t="shared" ca="1" si="94"/>
        <v>0</v>
      </c>
      <c r="DD12" s="17">
        <f t="shared" ca="1" si="94"/>
        <v>0</v>
      </c>
      <c r="DE12" s="17">
        <f t="shared" ca="1" si="53"/>
        <v>0</v>
      </c>
      <c r="DF12" s="24">
        <f t="shared" ca="1" si="53"/>
        <v>0</v>
      </c>
      <c r="DG12" s="16">
        <f t="shared" ref="DG12:DM17" ca="1" si="95">$I$6</f>
        <v>0</v>
      </c>
      <c r="DH12" s="16">
        <f t="shared" ca="1" si="95"/>
        <v>0</v>
      </c>
      <c r="DI12" s="16">
        <f t="shared" ca="1" si="95"/>
        <v>0</v>
      </c>
      <c r="DJ12" s="16">
        <f t="shared" ca="1" si="95"/>
        <v>0</v>
      </c>
      <c r="DK12" s="16">
        <f t="shared" ca="1" si="95"/>
        <v>0</v>
      </c>
      <c r="DL12" s="16">
        <f t="shared" ca="1" si="95"/>
        <v>0</v>
      </c>
      <c r="DM12" s="16">
        <f t="shared" ca="1" si="95"/>
        <v>0</v>
      </c>
      <c r="DN12" s="23">
        <f t="shared" ca="1" si="54"/>
        <v>2</v>
      </c>
      <c r="DO12" s="17">
        <f t="shared" ca="1" si="54"/>
        <v>2</v>
      </c>
      <c r="DP12" s="17">
        <f t="shared" ref="DP12:DR14" ca="1" si="96">$I$7</f>
        <v>2</v>
      </c>
      <c r="DQ12" s="17">
        <f t="shared" ca="1" si="96"/>
        <v>2</v>
      </c>
      <c r="DR12" s="17">
        <f t="shared" ca="1" si="96"/>
        <v>2</v>
      </c>
      <c r="DS12" s="17">
        <f t="shared" ca="1" si="56"/>
        <v>2</v>
      </c>
      <c r="DT12" s="24">
        <f t="shared" ca="1" si="56"/>
        <v>2</v>
      </c>
      <c r="DU12" s="16">
        <f t="shared" ref="DU12:EB17" ca="1" si="97">$I$8</f>
        <v>0</v>
      </c>
      <c r="DV12" s="16">
        <f t="shared" ca="1" si="97"/>
        <v>0</v>
      </c>
      <c r="DW12" s="16">
        <f t="shared" ca="1" si="97"/>
        <v>0</v>
      </c>
      <c r="DX12" s="16">
        <f t="shared" ca="1" si="97"/>
        <v>0</v>
      </c>
      <c r="DY12" s="16">
        <f t="shared" ca="1" si="97"/>
        <v>0</v>
      </c>
      <c r="DZ12" s="16">
        <f t="shared" ca="1" si="97"/>
        <v>0</v>
      </c>
      <c r="EA12" s="16">
        <f t="shared" ca="1" si="97"/>
        <v>0</v>
      </c>
      <c r="EB12" s="18">
        <f t="shared" ca="1" si="97"/>
        <v>0</v>
      </c>
      <c r="EC12" s="19">
        <f t="shared" ref="EC12:EH17" ca="1" si="98">$I$9</f>
        <v>2</v>
      </c>
      <c r="ED12" s="16">
        <f t="shared" ca="1" si="98"/>
        <v>2</v>
      </c>
      <c r="EE12" s="16">
        <f t="shared" ca="1" si="98"/>
        <v>2</v>
      </c>
      <c r="EF12" s="16">
        <f t="shared" ca="1" si="98"/>
        <v>2</v>
      </c>
      <c r="EG12" s="16">
        <f t="shared" ca="1" si="98"/>
        <v>2</v>
      </c>
      <c r="EH12" s="16">
        <f t="shared" ca="1" si="98"/>
        <v>2</v>
      </c>
      <c r="EI12" s="23">
        <f t="shared" ca="1" si="57"/>
        <v>0</v>
      </c>
      <c r="EJ12" s="17">
        <f t="shared" ca="1" si="57"/>
        <v>0</v>
      </c>
      <c r="EK12" s="17">
        <f t="shared" ref="EK12:EM14" ca="1" si="99">$I$10</f>
        <v>0</v>
      </c>
      <c r="EL12" s="17">
        <f t="shared" ca="1" si="99"/>
        <v>0</v>
      </c>
      <c r="EM12" s="17">
        <f t="shared" ca="1" si="99"/>
        <v>0</v>
      </c>
      <c r="EN12" s="17">
        <f t="shared" ca="1" si="59"/>
        <v>0</v>
      </c>
      <c r="EO12" s="24">
        <f t="shared" ca="1" si="59"/>
        <v>0</v>
      </c>
      <c r="EP12" s="16">
        <f t="shared" ref="EP12:EV17" ca="1" si="100">$I$11</f>
        <v>0</v>
      </c>
      <c r="EQ12" s="16">
        <f t="shared" ca="1" si="100"/>
        <v>0</v>
      </c>
      <c r="ER12" s="16">
        <f t="shared" ca="1" si="100"/>
        <v>0</v>
      </c>
      <c r="ES12" s="16">
        <f t="shared" ca="1" si="100"/>
        <v>0</v>
      </c>
      <c r="ET12" s="16">
        <f t="shared" ca="1" si="100"/>
        <v>0</v>
      </c>
      <c r="EU12" s="16">
        <f t="shared" ca="1" si="100"/>
        <v>0</v>
      </c>
      <c r="EV12" s="16">
        <f t="shared" ca="1" si="100"/>
        <v>0</v>
      </c>
      <c r="EW12" s="23">
        <f t="shared" ca="1" si="60"/>
        <v>2</v>
      </c>
      <c r="EX12" s="17">
        <f t="shared" ca="1" si="60"/>
        <v>2</v>
      </c>
      <c r="EY12" s="17">
        <f t="shared" ref="EY12:FA14" ca="1" si="101">$I$12</f>
        <v>2</v>
      </c>
      <c r="EZ12" s="17">
        <f t="shared" ca="1" si="101"/>
        <v>2</v>
      </c>
      <c r="FA12" s="17">
        <f t="shared" ca="1" si="101"/>
        <v>2</v>
      </c>
      <c r="FB12" s="17">
        <f t="shared" ca="1" si="62"/>
        <v>2</v>
      </c>
      <c r="FC12" s="24">
        <f t="shared" ca="1" si="62"/>
        <v>2</v>
      </c>
      <c r="FD12" s="16">
        <f t="shared" ref="FD12:FJ17" ca="1" si="102">$I$13</f>
        <v>0</v>
      </c>
      <c r="FE12" s="16">
        <f t="shared" ca="1" si="102"/>
        <v>0</v>
      </c>
      <c r="FF12" s="16">
        <f t="shared" ca="1" si="102"/>
        <v>0</v>
      </c>
      <c r="FG12" s="16">
        <f t="shared" ca="1" si="102"/>
        <v>0</v>
      </c>
      <c r="FH12" s="16">
        <f t="shared" ca="1" si="102"/>
        <v>0</v>
      </c>
      <c r="FI12" s="16">
        <f t="shared" ca="1" si="102"/>
        <v>0</v>
      </c>
      <c r="FJ12" s="16">
        <f t="shared" ca="1" si="102"/>
        <v>0</v>
      </c>
      <c r="FK12" s="23">
        <f t="shared" ca="1" si="63"/>
        <v>0</v>
      </c>
      <c r="FL12" s="17">
        <f t="shared" ca="1" si="63"/>
        <v>0</v>
      </c>
      <c r="FM12" s="17">
        <f t="shared" ref="FM12:FO14" ca="1" si="103">$I$14</f>
        <v>0</v>
      </c>
      <c r="FN12" s="17">
        <f t="shared" ca="1" si="103"/>
        <v>0</v>
      </c>
      <c r="FO12" s="17">
        <f t="shared" ca="1" si="103"/>
        <v>0</v>
      </c>
      <c r="FP12" s="17">
        <f t="shared" ca="1" si="65"/>
        <v>0</v>
      </c>
      <c r="FQ12" s="24">
        <f t="shared" ca="1" si="65"/>
        <v>0</v>
      </c>
      <c r="FR12" s="16">
        <f t="shared" ref="FR12:FX17" ca="1" si="104">$I$15</f>
        <v>2</v>
      </c>
      <c r="FS12" s="16">
        <f t="shared" ca="1" si="104"/>
        <v>2</v>
      </c>
      <c r="FT12" s="16">
        <f t="shared" ca="1" si="104"/>
        <v>2</v>
      </c>
      <c r="FU12" s="16">
        <f t="shared" ca="1" si="104"/>
        <v>2</v>
      </c>
      <c r="FV12" s="16">
        <f t="shared" ca="1" si="104"/>
        <v>2</v>
      </c>
      <c r="FW12" s="16">
        <f t="shared" ca="1" si="104"/>
        <v>2</v>
      </c>
      <c r="FX12" s="18">
        <f t="shared" ca="1" si="104"/>
        <v>2</v>
      </c>
      <c r="FY12" s="19">
        <f t="shared" ref="FY12:GE17" ca="1" si="105">$I$4</f>
        <v>0</v>
      </c>
      <c r="FZ12" s="16">
        <f t="shared" ca="1" si="105"/>
        <v>0</v>
      </c>
      <c r="GA12" s="16">
        <f t="shared" ca="1" si="105"/>
        <v>0</v>
      </c>
      <c r="GB12" s="16">
        <f t="shared" ca="1" si="105"/>
        <v>0</v>
      </c>
      <c r="GC12" s="16">
        <f t="shared" ca="1" si="105"/>
        <v>0</v>
      </c>
      <c r="GD12" s="16">
        <f t="shared" ca="1" si="105"/>
        <v>0</v>
      </c>
      <c r="GE12" s="16">
        <f t="shared" ca="1" si="105"/>
        <v>0</v>
      </c>
      <c r="GF12" s="23">
        <f t="shared" ca="1" si="66"/>
        <v>0</v>
      </c>
      <c r="GG12" s="17">
        <f t="shared" ca="1" si="66"/>
        <v>0</v>
      </c>
      <c r="GH12" s="17">
        <f t="shared" ref="GH12:GJ14" ca="1" si="106">$I$5</f>
        <v>0</v>
      </c>
      <c r="GI12" s="17">
        <f t="shared" ca="1" si="106"/>
        <v>0</v>
      </c>
      <c r="GJ12" s="17">
        <f t="shared" ca="1" si="106"/>
        <v>0</v>
      </c>
      <c r="GK12" s="17">
        <f t="shared" ca="1" si="68"/>
        <v>0</v>
      </c>
      <c r="GL12" s="24">
        <f t="shared" ca="1" si="68"/>
        <v>0</v>
      </c>
      <c r="GM12" s="16">
        <f t="shared" ref="GM12:GS17" ca="1" si="107">$I$6</f>
        <v>0</v>
      </c>
      <c r="GN12" s="16">
        <f t="shared" ca="1" si="107"/>
        <v>0</v>
      </c>
      <c r="GO12" s="16">
        <f t="shared" ca="1" si="107"/>
        <v>0</v>
      </c>
      <c r="GP12" s="16">
        <f t="shared" ca="1" si="107"/>
        <v>0</v>
      </c>
      <c r="GQ12" s="16">
        <f t="shared" ca="1" si="107"/>
        <v>0</v>
      </c>
      <c r="GR12" s="16">
        <f t="shared" ca="1" si="107"/>
        <v>0</v>
      </c>
      <c r="GS12" s="16">
        <f t="shared" ca="1" si="107"/>
        <v>0</v>
      </c>
      <c r="GT12" s="23">
        <f t="shared" ca="1" si="69"/>
        <v>2</v>
      </c>
      <c r="GU12" s="17">
        <f t="shared" ca="1" si="69"/>
        <v>2</v>
      </c>
      <c r="GV12" s="17">
        <f t="shared" ref="GV12:GX14" ca="1" si="108">$I$7</f>
        <v>2</v>
      </c>
      <c r="GW12" s="17">
        <f t="shared" ca="1" si="108"/>
        <v>2</v>
      </c>
      <c r="GX12" s="17">
        <f t="shared" ca="1" si="108"/>
        <v>2</v>
      </c>
      <c r="GY12" s="17">
        <f t="shared" ca="1" si="71"/>
        <v>2</v>
      </c>
      <c r="GZ12" s="24">
        <f t="shared" ca="1" si="71"/>
        <v>2</v>
      </c>
      <c r="HA12" s="16">
        <f t="shared" ref="HA12:HH17" ca="1" si="109">$I$8</f>
        <v>0</v>
      </c>
      <c r="HB12" s="16">
        <f t="shared" ca="1" si="109"/>
        <v>0</v>
      </c>
      <c r="HC12" s="16">
        <f t="shared" ca="1" si="109"/>
        <v>0</v>
      </c>
      <c r="HD12" s="16">
        <f t="shared" ca="1" si="109"/>
        <v>0</v>
      </c>
      <c r="HE12" s="16">
        <f t="shared" ca="1" si="109"/>
        <v>0</v>
      </c>
      <c r="HF12" s="16">
        <f t="shared" ca="1" si="109"/>
        <v>0</v>
      </c>
      <c r="HG12" s="16">
        <f t="shared" ca="1" si="109"/>
        <v>0</v>
      </c>
      <c r="HH12" s="18">
        <f t="shared" ca="1" si="109"/>
        <v>0</v>
      </c>
      <c r="HI12" s="19">
        <f t="shared" ref="HI12:HN17" ca="1" si="110">$I$9</f>
        <v>2</v>
      </c>
      <c r="HJ12" s="16">
        <f t="shared" ca="1" si="110"/>
        <v>2</v>
      </c>
      <c r="HK12" s="16">
        <f t="shared" ca="1" si="110"/>
        <v>2</v>
      </c>
      <c r="HL12" s="16">
        <f t="shared" ca="1" si="110"/>
        <v>2</v>
      </c>
      <c r="HM12" s="16">
        <f t="shared" ca="1" si="110"/>
        <v>2</v>
      </c>
      <c r="HN12" s="16">
        <f t="shared" ca="1" si="110"/>
        <v>2</v>
      </c>
      <c r="HO12" s="23">
        <f t="shared" ca="1" si="72"/>
        <v>0</v>
      </c>
      <c r="HP12" s="17">
        <f t="shared" ca="1" si="72"/>
        <v>0</v>
      </c>
      <c r="HQ12" s="17">
        <f t="shared" ref="HQ12:HS14" ca="1" si="111">$I$10</f>
        <v>0</v>
      </c>
      <c r="HR12" s="17">
        <f t="shared" ca="1" si="111"/>
        <v>0</v>
      </c>
      <c r="HS12" s="17">
        <f t="shared" ca="1" si="111"/>
        <v>0</v>
      </c>
      <c r="HT12" s="17">
        <f t="shared" ca="1" si="74"/>
        <v>0</v>
      </c>
      <c r="HU12" s="24">
        <f t="shared" ca="1" si="74"/>
        <v>0</v>
      </c>
      <c r="HV12" s="16">
        <f t="shared" ref="HV12:IB17" ca="1" si="112">$I$11</f>
        <v>0</v>
      </c>
      <c r="HW12" s="16">
        <f t="shared" ca="1" si="112"/>
        <v>0</v>
      </c>
      <c r="HX12" s="16">
        <f t="shared" ca="1" si="112"/>
        <v>0</v>
      </c>
      <c r="HY12" s="16">
        <f t="shared" ca="1" si="112"/>
        <v>0</v>
      </c>
      <c r="HZ12" s="16">
        <f t="shared" ca="1" si="112"/>
        <v>0</v>
      </c>
      <c r="IA12" s="16">
        <f t="shared" ca="1" si="112"/>
        <v>0</v>
      </c>
      <c r="IB12" s="16">
        <f t="shared" ca="1" si="112"/>
        <v>0</v>
      </c>
      <c r="IC12" s="23">
        <f t="shared" ca="1" si="75"/>
        <v>2</v>
      </c>
      <c r="ID12" s="17">
        <f t="shared" ca="1" si="75"/>
        <v>2</v>
      </c>
      <c r="IE12" s="17">
        <f t="shared" ref="IE12:IG14" ca="1" si="113">$I$12</f>
        <v>2</v>
      </c>
      <c r="IF12" s="17">
        <f t="shared" ca="1" si="113"/>
        <v>2</v>
      </c>
      <c r="IG12" s="17">
        <f t="shared" ca="1" si="113"/>
        <v>2</v>
      </c>
      <c r="IH12" s="17">
        <f t="shared" ca="1" si="77"/>
        <v>2</v>
      </c>
      <c r="II12" s="24">
        <f t="shared" ca="1" si="77"/>
        <v>2</v>
      </c>
      <c r="IJ12" s="16">
        <f t="shared" ref="IJ12:IP17" ca="1" si="114">$I$13</f>
        <v>0</v>
      </c>
      <c r="IK12" s="16">
        <f t="shared" ca="1" si="114"/>
        <v>0</v>
      </c>
      <c r="IL12" s="16">
        <f t="shared" ca="1" si="114"/>
        <v>0</v>
      </c>
      <c r="IM12" s="16">
        <f t="shared" ca="1" si="114"/>
        <v>0</v>
      </c>
      <c r="IN12" s="16">
        <f t="shared" ca="1" si="114"/>
        <v>0</v>
      </c>
      <c r="IO12" s="16">
        <f t="shared" ca="1" si="114"/>
        <v>0</v>
      </c>
      <c r="IP12" s="16">
        <f t="shared" ca="1" si="114"/>
        <v>0</v>
      </c>
      <c r="IQ12" s="23">
        <f t="shared" ca="1" si="78"/>
        <v>0</v>
      </c>
      <c r="IR12" s="17">
        <f t="shared" ca="1" si="78"/>
        <v>0</v>
      </c>
      <c r="IS12" s="17">
        <f t="shared" ref="IS12:IU14" ca="1" si="115">$I$14</f>
        <v>0</v>
      </c>
      <c r="IT12" s="17">
        <f t="shared" ca="1" si="115"/>
        <v>0</v>
      </c>
      <c r="IU12" s="17">
        <f t="shared" ca="1" si="115"/>
        <v>0</v>
      </c>
      <c r="IV12" s="17">
        <f t="shared" ca="1" si="80"/>
        <v>0</v>
      </c>
      <c r="IW12" s="24">
        <f t="shared" ca="1" si="80"/>
        <v>0</v>
      </c>
      <c r="IX12" s="16">
        <f t="shared" ref="IX12:JD17" ca="1" si="116">$I$15</f>
        <v>2</v>
      </c>
      <c r="IY12" s="16">
        <f t="shared" ca="1" si="116"/>
        <v>2</v>
      </c>
      <c r="IZ12" s="16">
        <f t="shared" ca="1" si="116"/>
        <v>2</v>
      </c>
      <c r="JA12" s="16">
        <f t="shared" ca="1" si="116"/>
        <v>2</v>
      </c>
      <c r="JB12" s="16">
        <f t="shared" ca="1" si="116"/>
        <v>2</v>
      </c>
      <c r="JC12" s="16">
        <f t="shared" ca="1" si="116"/>
        <v>2</v>
      </c>
      <c r="JD12" s="18">
        <f t="shared" ca="1" si="116"/>
        <v>2</v>
      </c>
    </row>
    <row r="13" spans="1:264" x14ac:dyDescent="0.4">
      <c r="A13" s="2"/>
      <c r="B13" s="2"/>
      <c r="C13" s="2"/>
      <c r="D13" s="2"/>
      <c r="E13" s="2"/>
      <c r="F13" s="2"/>
      <c r="G13" s="2"/>
      <c r="H13" s="14" t="s">
        <v>332</v>
      </c>
      <c r="I13" s="7">
        <f ca="1"/>
        <v>0</v>
      </c>
      <c r="J13" s="2">
        <f ca="1"/>
        <v>0</v>
      </c>
      <c r="M13" s="19">
        <f t="shared" ca="1" si="81"/>
        <v>0</v>
      </c>
      <c r="N13" s="16">
        <f t="shared" ca="1" si="81"/>
        <v>0</v>
      </c>
      <c r="O13" s="16">
        <f t="shared" ca="1" si="81"/>
        <v>0</v>
      </c>
      <c r="P13" s="16">
        <f t="shared" ca="1" si="81"/>
        <v>0</v>
      </c>
      <c r="Q13" s="16">
        <f t="shared" ca="1" si="81"/>
        <v>0</v>
      </c>
      <c r="R13" s="16">
        <f t="shared" ca="1" si="81"/>
        <v>0</v>
      </c>
      <c r="S13" s="18">
        <f t="shared" ca="1" si="81"/>
        <v>0</v>
      </c>
      <c r="T13" s="23">
        <f t="shared" ca="1" si="36"/>
        <v>0</v>
      </c>
      <c r="U13" s="17">
        <f t="shared" ca="1" si="36"/>
        <v>0</v>
      </c>
      <c r="V13" s="17">
        <f t="shared" ca="1" si="82"/>
        <v>0</v>
      </c>
      <c r="W13" s="17">
        <f t="shared" ca="1" si="82"/>
        <v>0</v>
      </c>
      <c r="X13" s="17">
        <f t="shared" ca="1" si="82"/>
        <v>0</v>
      </c>
      <c r="Y13" s="17">
        <f t="shared" ca="1" si="38"/>
        <v>0</v>
      </c>
      <c r="Z13" s="24">
        <f t="shared" ca="1" si="38"/>
        <v>0</v>
      </c>
      <c r="AA13" s="16">
        <f t="shared" ca="1" si="83"/>
        <v>0</v>
      </c>
      <c r="AB13" s="16">
        <f t="shared" ca="1" si="83"/>
        <v>0</v>
      </c>
      <c r="AC13" s="16">
        <f t="shared" ca="1" si="83"/>
        <v>0</v>
      </c>
      <c r="AD13" s="16">
        <f t="shared" ca="1" si="83"/>
        <v>0</v>
      </c>
      <c r="AE13" s="16">
        <f t="shared" ca="1" si="83"/>
        <v>0</v>
      </c>
      <c r="AF13" s="16">
        <f t="shared" ca="1" si="83"/>
        <v>0</v>
      </c>
      <c r="AG13" s="18">
        <f t="shared" ca="1" si="83"/>
        <v>0</v>
      </c>
      <c r="AH13" s="23">
        <f t="shared" ca="1" si="39"/>
        <v>2</v>
      </c>
      <c r="AI13" s="17">
        <f t="shared" ca="1" si="39"/>
        <v>2</v>
      </c>
      <c r="AJ13" s="17">
        <f t="shared" ca="1" si="84"/>
        <v>2</v>
      </c>
      <c r="AK13" s="17">
        <f t="shared" ca="1" si="84"/>
        <v>2</v>
      </c>
      <c r="AL13" s="17">
        <f t="shared" ca="1" si="84"/>
        <v>2</v>
      </c>
      <c r="AM13" s="17">
        <f t="shared" ca="1" si="41"/>
        <v>2</v>
      </c>
      <c r="AN13" s="24">
        <f t="shared" ca="1" si="41"/>
        <v>2</v>
      </c>
      <c r="AO13" s="19">
        <f t="shared" ca="1" si="85"/>
        <v>0</v>
      </c>
      <c r="AP13" s="16">
        <f t="shared" ca="1" si="85"/>
        <v>0</v>
      </c>
      <c r="AQ13" s="16">
        <f t="shared" ca="1" si="85"/>
        <v>0</v>
      </c>
      <c r="AR13" s="16">
        <f t="shared" ca="1" si="85"/>
        <v>0</v>
      </c>
      <c r="AS13" s="16">
        <f t="shared" ca="1" si="85"/>
        <v>0</v>
      </c>
      <c r="AT13" s="16">
        <f t="shared" ca="1" si="85"/>
        <v>0</v>
      </c>
      <c r="AU13" s="16">
        <f t="shared" ca="1" si="85"/>
        <v>0</v>
      </c>
      <c r="AV13" s="18">
        <f t="shared" ca="1" si="85"/>
        <v>0</v>
      </c>
      <c r="AW13" s="19">
        <f t="shared" ca="1" si="86"/>
        <v>2</v>
      </c>
      <c r="AX13" s="16">
        <f t="shared" ca="1" si="86"/>
        <v>2</v>
      </c>
      <c r="AY13" s="16">
        <f t="shared" ca="1" si="86"/>
        <v>2</v>
      </c>
      <c r="AZ13" s="16">
        <f t="shared" ca="1" si="86"/>
        <v>2</v>
      </c>
      <c r="BA13" s="16">
        <f t="shared" ca="1" si="86"/>
        <v>2</v>
      </c>
      <c r="BB13" s="16">
        <f t="shared" ca="1" si="86"/>
        <v>2</v>
      </c>
      <c r="BC13" s="23">
        <f t="shared" ca="1" si="42"/>
        <v>0</v>
      </c>
      <c r="BD13" s="17">
        <f t="shared" ca="1" si="42"/>
        <v>0</v>
      </c>
      <c r="BE13" s="17">
        <f t="shared" ca="1" si="87"/>
        <v>0</v>
      </c>
      <c r="BF13" s="17">
        <f t="shared" ca="1" si="87"/>
        <v>0</v>
      </c>
      <c r="BG13" s="17">
        <f t="shared" ca="1" si="87"/>
        <v>0</v>
      </c>
      <c r="BH13" s="17">
        <f t="shared" ca="1" si="44"/>
        <v>0</v>
      </c>
      <c r="BI13" s="24">
        <f t="shared" ca="1" si="44"/>
        <v>0</v>
      </c>
      <c r="BJ13" s="16">
        <f t="shared" ca="1" si="88"/>
        <v>0</v>
      </c>
      <c r="BK13" s="16">
        <f t="shared" ca="1" si="88"/>
        <v>0</v>
      </c>
      <c r="BL13" s="16">
        <f t="shared" ca="1" si="88"/>
        <v>0</v>
      </c>
      <c r="BM13" s="16">
        <f t="shared" ca="1" si="88"/>
        <v>0</v>
      </c>
      <c r="BN13" s="16">
        <f t="shared" ca="1" si="88"/>
        <v>0</v>
      </c>
      <c r="BO13" s="16">
        <f t="shared" ca="1" si="88"/>
        <v>0</v>
      </c>
      <c r="BP13" s="16">
        <f t="shared" ca="1" si="88"/>
        <v>0</v>
      </c>
      <c r="BQ13" s="23">
        <f t="shared" ca="1" si="45"/>
        <v>2</v>
      </c>
      <c r="BR13" s="17">
        <f t="shared" ca="1" si="45"/>
        <v>2</v>
      </c>
      <c r="BS13" s="17">
        <f t="shared" ca="1" si="89"/>
        <v>2</v>
      </c>
      <c r="BT13" s="17">
        <f t="shared" ca="1" si="89"/>
        <v>2</v>
      </c>
      <c r="BU13" s="17">
        <f t="shared" ca="1" si="89"/>
        <v>2</v>
      </c>
      <c r="BV13" s="17">
        <f t="shared" ca="1" si="47"/>
        <v>2</v>
      </c>
      <c r="BW13" s="24">
        <f t="shared" ca="1" si="47"/>
        <v>2</v>
      </c>
      <c r="BX13" s="16">
        <f t="shared" ca="1" si="90"/>
        <v>0</v>
      </c>
      <c r="BY13" s="16">
        <f t="shared" ca="1" si="90"/>
        <v>0</v>
      </c>
      <c r="BZ13" s="16">
        <f t="shared" ca="1" si="90"/>
        <v>0</v>
      </c>
      <c r="CA13" s="16">
        <f t="shared" ca="1" si="90"/>
        <v>0</v>
      </c>
      <c r="CB13" s="16">
        <f t="shared" ca="1" si="90"/>
        <v>0</v>
      </c>
      <c r="CC13" s="16">
        <f t="shared" ca="1" si="90"/>
        <v>0</v>
      </c>
      <c r="CD13" s="16">
        <f t="shared" ca="1" si="90"/>
        <v>0</v>
      </c>
      <c r="CE13" s="23">
        <f t="shared" ca="1" si="48"/>
        <v>0</v>
      </c>
      <c r="CF13" s="17">
        <f t="shared" ca="1" si="48"/>
        <v>0</v>
      </c>
      <c r="CG13" s="17">
        <f t="shared" ca="1" si="91"/>
        <v>0</v>
      </c>
      <c r="CH13" s="17">
        <f t="shared" ca="1" si="91"/>
        <v>0</v>
      </c>
      <c r="CI13" s="17">
        <f t="shared" ca="1" si="91"/>
        <v>0</v>
      </c>
      <c r="CJ13" s="17">
        <f t="shared" ca="1" si="50"/>
        <v>0</v>
      </c>
      <c r="CK13" s="24">
        <f t="shared" ca="1" si="50"/>
        <v>0</v>
      </c>
      <c r="CL13" s="16">
        <f t="shared" ca="1" si="92"/>
        <v>2</v>
      </c>
      <c r="CM13" s="16">
        <f t="shared" ca="1" si="92"/>
        <v>2</v>
      </c>
      <c r="CN13" s="16">
        <f t="shared" ca="1" si="92"/>
        <v>2</v>
      </c>
      <c r="CO13" s="16">
        <f t="shared" ca="1" si="92"/>
        <v>2</v>
      </c>
      <c r="CP13" s="16">
        <f t="shared" ca="1" si="92"/>
        <v>2</v>
      </c>
      <c r="CQ13" s="16">
        <f t="shared" ca="1" si="92"/>
        <v>2</v>
      </c>
      <c r="CR13" s="18">
        <f t="shared" ca="1" si="92"/>
        <v>2</v>
      </c>
      <c r="CS13" s="19">
        <f t="shared" ca="1" si="93"/>
        <v>0</v>
      </c>
      <c r="CT13" s="16">
        <f t="shared" ca="1" si="93"/>
        <v>0</v>
      </c>
      <c r="CU13" s="16">
        <f t="shared" ca="1" si="93"/>
        <v>0</v>
      </c>
      <c r="CV13" s="16">
        <f t="shared" ca="1" si="93"/>
        <v>0</v>
      </c>
      <c r="CW13" s="16">
        <f t="shared" ca="1" si="93"/>
        <v>0</v>
      </c>
      <c r="CX13" s="16">
        <f t="shared" ca="1" si="93"/>
        <v>0</v>
      </c>
      <c r="CY13" s="16">
        <f t="shared" ca="1" si="93"/>
        <v>0</v>
      </c>
      <c r="CZ13" s="23">
        <f t="shared" ca="1" si="51"/>
        <v>0</v>
      </c>
      <c r="DA13" s="17">
        <f t="shared" ca="1" si="51"/>
        <v>0</v>
      </c>
      <c r="DB13" s="17">
        <f t="shared" ca="1" si="94"/>
        <v>0</v>
      </c>
      <c r="DC13" s="17">
        <f t="shared" ca="1" si="94"/>
        <v>0</v>
      </c>
      <c r="DD13" s="17">
        <f t="shared" ca="1" si="94"/>
        <v>0</v>
      </c>
      <c r="DE13" s="17">
        <f t="shared" ca="1" si="53"/>
        <v>0</v>
      </c>
      <c r="DF13" s="24">
        <f t="shared" ca="1" si="53"/>
        <v>0</v>
      </c>
      <c r="DG13" s="16">
        <f t="shared" ca="1" si="95"/>
        <v>0</v>
      </c>
      <c r="DH13" s="16">
        <f t="shared" ca="1" si="95"/>
        <v>0</v>
      </c>
      <c r="DI13" s="16">
        <f t="shared" ca="1" si="95"/>
        <v>0</v>
      </c>
      <c r="DJ13" s="16">
        <f t="shared" ca="1" si="95"/>
        <v>0</v>
      </c>
      <c r="DK13" s="16">
        <f t="shared" ca="1" si="95"/>
        <v>0</v>
      </c>
      <c r="DL13" s="16">
        <f t="shared" ca="1" si="95"/>
        <v>0</v>
      </c>
      <c r="DM13" s="16">
        <f t="shared" ca="1" si="95"/>
        <v>0</v>
      </c>
      <c r="DN13" s="23">
        <f t="shared" ca="1" si="54"/>
        <v>2</v>
      </c>
      <c r="DO13" s="17">
        <f t="shared" ca="1" si="54"/>
        <v>2</v>
      </c>
      <c r="DP13" s="17">
        <f t="shared" ca="1" si="96"/>
        <v>2</v>
      </c>
      <c r="DQ13" s="17">
        <f t="shared" ca="1" si="96"/>
        <v>2</v>
      </c>
      <c r="DR13" s="17">
        <f t="shared" ca="1" si="96"/>
        <v>2</v>
      </c>
      <c r="DS13" s="17">
        <f t="shared" ca="1" si="56"/>
        <v>2</v>
      </c>
      <c r="DT13" s="24">
        <f t="shared" ca="1" si="56"/>
        <v>2</v>
      </c>
      <c r="DU13" s="16">
        <f t="shared" ca="1" si="97"/>
        <v>0</v>
      </c>
      <c r="DV13" s="16">
        <f t="shared" ca="1" si="97"/>
        <v>0</v>
      </c>
      <c r="DW13" s="16">
        <f t="shared" ca="1" si="97"/>
        <v>0</v>
      </c>
      <c r="DX13" s="16">
        <f t="shared" ca="1" si="97"/>
        <v>0</v>
      </c>
      <c r="DY13" s="16">
        <f t="shared" ca="1" si="97"/>
        <v>0</v>
      </c>
      <c r="DZ13" s="16">
        <f t="shared" ca="1" si="97"/>
        <v>0</v>
      </c>
      <c r="EA13" s="16">
        <f t="shared" ca="1" si="97"/>
        <v>0</v>
      </c>
      <c r="EB13" s="18">
        <f t="shared" ca="1" si="97"/>
        <v>0</v>
      </c>
      <c r="EC13" s="19">
        <f t="shared" ca="1" si="98"/>
        <v>2</v>
      </c>
      <c r="ED13" s="16">
        <f t="shared" ca="1" si="98"/>
        <v>2</v>
      </c>
      <c r="EE13" s="16">
        <f t="shared" ca="1" si="98"/>
        <v>2</v>
      </c>
      <c r="EF13" s="16">
        <f t="shared" ca="1" si="98"/>
        <v>2</v>
      </c>
      <c r="EG13" s="16">
        <f t="shared" ca="1" si="98"/>
        <v>2</v>
      </c>
      <c r="EH13" s="16">
        <f t="shared" ca="1" si="98"/>
        <v>2</v>
      </c>
      <c r="EI13" s="23">
        <f t="shared" ca="1" si="57"/>
        <v>0</v>
      </c>
      <c r="EJ13" s="17">
        <f t="shared" ca="1" si="57"/>
        <v>0</v>
      </c>
      <c r="EK13" s="17">
        <f t="shared" ca="1" si="99"/>
        <v>0</v>
      </c>
      <c r="EL13" s="17">
        <f t="shared" ca="1" si="99"/>
        <v>0</v>
      </c>
      <c r="EM13" s="17">
        <f t="shared" ca="1" si="99"/>
        <v>0</v>
      </c>
      <c r="EN13" s="17">
        <f t="shared" ca="1" si="59"/>
        <v>0</v>
      </c>
      <c r="EO13" s="24">
        <f t="shared" ca="1" si="59"/>
        <v>0</v>
      </c>
      <c r="EP13" s="16">
        <f t="shared" ca="1" si="100"/>
        <v>0</v>
      </c>
      <c r="EQ13" s="16">
        <f t="shared" ca="1" si="100"/>
        <v>0</v>
      </c>
      <c r="ER13" s="16">
        <f t="shared" ca="1" si="100"/>
        <v>0</v>
      </c>
      <c r="ES13" s="16">
        <f t="shared" ca="1" si="100"/>
        <v>0</v>
      </c>
      <c r="ET13" s="16">
        <f t="shared" ca="1" si="100"/>
        <v>0</v>
      </c>
      <c r="EU13" s="16">
        <f t="shared" ca="1" si="100"/>
        <v>0</v>
      </c>
      <c r="EV13" s="16">
        <f t="shared" ca="1" si="100"/>
        <v>0</v>
      </c>
      <c r="EW13" s="23">
        <f t="shared" ca="1" si="60"/>
        <v>2</v>
      </c>
      <c r="EX13" s="17">
        <f t="shared" ca="1" si="60"/>
        <v>2</v>
      </c>
      <c r="EY13" s="17">
        <f t="shared" ca="1" si="101"/>
        <v>2</v>
      </c>
      <c r="EZ13" s="17">
        <f t="shared" ca="1" si="101"/>
        <v>2</v>
      </c>
      <c r="FA13" s="17">
        <f t="shared" ca="1" si="101"/>
        <v>2</v>
      </c>
      <c r="FB13" s="17">
        <f t="shared" ca="1" si="62"/>
        <v>2</v>
      </c>
      <c r="FC13" s="24">
        <f t="shared" ca="1" si="62"/>
        <v>2</v>
      </c>
      <c r="FD13" s="16">
        <f t="shared" ca="1" si="102"/>
        <v>0</v>
      </c>
      <c r="FE13" s="16">
        <f t="shared" ca="1" si="102"/>
        <v>0</v>
      </c>
      <c r="FF13" s="16">
        <f t="shared" ca="1" si="102"/>
        <v>0</v>
      </c>
      <c r="FG13" s="16">
        <f t="shared" ca="1" si="102"/>
        <v>0</v>
      </c>
      <c r="FH13" s="16">
        <f t="shared" ca="1" si="102"/>
        <v>0</v>
      </c>
      <c r="FI13" s="16">
        <f t="shared" ca="1" si="102"/>
        <v>0</v>
      </c>
      <c r="FJ13" s="16">
        <f t="shared" ca="1" si="102"/>
        <v>0</v>
      </c>
      <c r="FK13" s="23">
        <f t="shared" ca="1" si="63"/>
        <v>0</v>
      </c>
      <c r="FL13" s="17">
        <f t="shared" ca="1" si="63"/>
        <v>0</v>
      </c>
      <c r="FM13" s="17">
        <f t="shared" ca="1" si="103"/>
        <v>0</v>
      </c>
      <c r="FN13" s="17">
        <f t="shared" ca="1" si="103"/>
        <v>0</v>
      </c>
      <c r="FO13" s="17">
        <f t="shared" ca="1" si="103"/>
        <v>0</v>
      </c>
      <c r="FP13" s="17">
        <f t="shared" ca="1" si="65"/>
        <v>0</v>
      </c>
      <c r="FQ13" s="24">
        <f t="shared" ca="1" si="65"/>
        <v>0</v>
      </c>
      <c r="FR13" s="16">
        <f t="shared" ca="1" si="104"/>
        <v>2</v>
      </c>
      <c r="FS13" s="16">
        <f t="shared" ca="1" si="104"/>
        <v>2</v>
      </c>
      <c r="FT13" s="16">
        <f t="shared" ca="1" si="104"/>
        <v>2</v>
      </c>
      <c r="FU13" s="16">
        <f t="shared" ca="1" si="104"/>
        <v>2</v>
      </c>
      <c r="FV13" s="16">
        <f t="shared" ca="1" si="104"/>
        <v>2</v>
      </c>
      <c r="FW13" s="16">
        <f t="shared" ca="1" si="104"/>
        <v>2</v>
      </c>
      <c r="FX13" s="18">
        <f t="shared" ca="1" si="104"/>
        <v>2</v>
      </c>
      <c r="FY13" s="19">
        <f t="shared" ca="1" si="105"/>
        <v>0</v>
      </c>
      <c r="FZ13" s="16">
        <f t="shared" ca="1" si="105"/>
        <v>0</v>
      </c>
      <c r="GA13" s="16">
        <f t="shared" ca="1" si="105"/>
        <v>0</v>
      </c>
      <c r="GB13" s="16">
        <f t="shared" ca="1" si="105"/>
        <v>0</v>
      </c>
      <c r="GC13" s="16">
        <f t="shared" ca="1" si="105"/>
        <v>0</v>
      </c>
      <c r="GD13" s="16">
        <f t="shared" ca="1" si="105"/>
        <v>0</v>
      </c>
      <c r="GE13" s="16">
        <f t="shared" ca="1" si="105"/>
        <v>0</v>
      </c>
      <c r="GF13" s="23">
        <f t="shared" ca="1" si="66"/>
        <v>0</v>
      </c>
      <c r="GG13" s="17">
        <f t="shared" ca="1" si="66"/>
        <v>0</v>
      </c>
      <c r="GH13" s="17">
        <f t="shared" ca="1" si="106"/>
        <v>0</v>
      </c>
      <c r="GI13" s="17">
        <f t="shared" ca="1" si="106"/>
        <v>0</v>
      </c>
      <c r="GJ13" s="17">
        <f t="shared" ca="1" si="106"/>
        <v>0</v>
      </c>
      <c r="GK13" s="17">
        <f t="shared" ca="1" si="68"/>
        <v>0</v>
      </c>
      <c r="GL13" s="24">
        <f t="shared" ca="1" si="68"/>
        <v>0</v>
      </c>
      <c r="GM13" s="16">
        <f t="shared" ca="1" si="107"/>
        <v>0</v>
      </c>
      <c r="GN13" s="16">
        <f t="shared" ca="1" si="107"/>
        <v>0</v>
      </c>
      <c r="GO13" s="16">
        <f t="shared" ca="1" si="107"/>
        <v>0</v>
      </c>
      <c r="GP13" s="16">
        <f t="shared" ca="1" si="107"/>
        <v>0</v>
      </c>
      <c r="GQ13" s="16">
        <f t="shared" ca="1" si="107"/>
        <v>0</v>
      </c>
      <c r="GR13" s="16">
        <f t="shared" ca="1" si="107"/>
        <v>0</v>
      </c>
      <c r="GS13" s="16">
        <f t="shared" ca="1" si="107"/>
        <v>0</v>
      </c>
      <c r="GT13" s="23">
        <f t="shared" ca="1" si="69"/>
        <v>2</v>
      </c>
      <c r="GU13" s="17">
        <f t="shared" ca="1" si="69"/>
        <v>2</v>
      </c>
      <c r="GV13" s="17">
        <f t="shared" ca="1" si="108"/>
        <v>2</v>
      </c>
      <c r="GW13" s="17">
        <f t="shared" ca="1" si="108"/>
        <v>2</v>
      </c>
      <c r="GX13" s="17">
        <f t="shared" ca="1" si="108"/>
        <v>2</v>
      </c>
      <c r="GY13" s="17">
        <f t="shared" ca="1" si="71"/>
        <v>2</v>
      </c>
      <c r="GZ13" s="24">
        <f t="shared" ca="1" si="71"/>
        <v>2</v>
      </c>
      <c r="HA13" s="16">
        <f t="shared" ca="1" si="109"/>
        <v>0</v>
      </c>
      <c r="HB13" s="16">
        <f t="shared" ca="1" si="109"/>
        <v>0</v>
      </c>
      <c r="HC13" s="16">
        <f t="shared" ca="1" si="109"/>
        <v>0</v>
      </c>
      <c r="HD13" s="16">
        <f t="shared" ca="1" si="109"/>
        <v>0</v>
      </c>
      <c r="HE13" s="16">
        <f t="shared" ca="1" si="109"/>
        <v>0</v>
      </c>
      <c r="HF13" s="16">
        <f t="shared" ca="1" si="109"/>
        <v>0</v>
      </c>
      <c r="HG13" s="16">
        <f t="shared" ca="1" si="109"/>
        <v>0</v>
      </c>
      <c r="HH13" s="18">
        <f t="shared" ca="1" si="109"/>
        <v>0</v>
      </c>
      <c r="HI13" s="19">
        <f t="shared" ca="1" si="110"/>
        <v>2</v>
      </c>
      <c r="HJ13" s="16">
        <f t="shared" ca="1" si="110"/>
        <v>2</v>
      </c>
      <c r="HK13" s="16">
        <f t="shared" ca="1" si="110"/>
        <v>2</v>
      </c>
      <c r="HL13" s="16">
        <f t="shared" ca="1" si="110"/>
        <v>2</v>
      </c>
      <c r="HM13" s="16">
        <f t="shared" ca="1" si="110"/>
        <v>2</v>
      </c>
      <c r="HN13" s="16">
        <f t="shared" ca="1" si="110"/>
        <v>2</v>
      </c>
      <c r="HO13" s="23">
        <f t="shared" ca="1" si="72"/>
        <v>0</v>
      </c>
      <c r="HP13" s="17">
        <f t="shared" ca="1" si="72"/>
        <v>0</v>
      </c>
      <c r="HQ13" s="17">
        <f t="shared" ca="1" si="111"/>
        <v>0</v>
      </c>
      <c r="HR13" s="17">
        <f t="shared" ca="1" si="111"/>
        <v>0</v>
      </c>
      <c r="HS13" s="17">
        <f t="shared" ca="1" si="111"/>
        <v>0</v>
      </c>
      <c r="HT13" s="17">
        <f t="shared" ca="1" si="74"/>
        <v>0</v>
      </c>
      <c r="HU13" s="24">
        <f t="shared" ca="1" si="74"/>
        <v>0</v>
      </c>
      <c r="HV13" s="16">
        <f t="shared" ca="1" si="112"/>
        <v>0</v>
      </c>
      <c r="HW13" s="16">
        <f t="shared" ca="1" si="112"/>
        <v>0</v>
      </c>
      <c r="HX13" s="16">
        <f t="shared" ca="1" si="112"/>
        <v>0</v>
      </c>
      <c r="HY13" s="16">
        <f t="shared" ca="1" si="112"/>
        <v>0</v>
      </c>
      <c r="HZ13" s="16">
        <f t="shared" ca="1" si="112"/>
        <v>0</v>
      </c>
      <c r="IA13" s="16">
        <f t="shared" ca="1" si="112"/>
        <v>0</v>
      </c>
      <c r="IB13" s="16">
        <f t="shared" ca="1" si="112"/>
        <v>0</v>
      </c>
      <c r="IC13" s="23">
        <f t="shared" ca="1" si="75"/>
        <v>2</v>
      </c>
      <c r="ID13" s="17">
        <f t="shared" ca="1" si="75"/>
        <v>2</v>
      </c>
      <c r="IE13" s="17">
        <f t="shared" ca="1" si="113"/>
        <v>2</v>
      </c>
      <c r="IF13" s="17">
        <f t="shared" ca="1" si="113"/>
        <v>2</v>
      </c>
      <c r="IG13" s="17">
        <f t="shared" ca="1" si="113"/>
        <v>2</v>
      </c>
      <c r="IH13" s="17">
        <f t="shared" ca="1" si="77"/>
        <v>2</v>
      </c>
      <c r="II13" s="24">
        <f t="shared" ca="1" si="77"/>
        <v>2</v>
      </c>
      <c r="IJ13" s="16">
        <f t="shared" ca="1" si="114"/>
        <v>0</v>
      </c>
      <c r="IK13" s="16">
        <f t="shared" ca="1" si="114"/>
        <v>0</v>
      </c>
      <c r="IL13" s="16">
        <f t="shared" ca="1" si="114"/>
        <v>0</v>
      </c>
      <c r="IM13" s="16">
        <f t="shared" ca="1" si="114"/>
        <v>0</v>
      </c>
      <c r="IN13" s="16">
        <f t="shared" ca="1" si="114"/>
        <v>0</v>
      </c>
      <c r="IO13" s="16">
        <f t="shared" ca="1" si="114"/>
        <v>0</v>
      </c>
      <c r="IP13" s="16">
        <f t="shared" ca="1" si="114"/>
        <v>0</v>
      </c>
      <c r="IQ13" s="23">
        <f t="shared" ca="1" si="78"/>
        <v>0</v>
      </c>
      <c r="IR13" s="17">
        <f t="shared" ca="1" si="78"/>
        <v>0</v>
      </c>
      <c r="IS13" s="17">
        <f t="shared" ca="1" si="115"/>
        <v>0</v>
      </c>
      <c r="IT13" s="17">
        <f t="shared" ca="1" si="115"/>
        <v>0</v>
      </c>
      <c r="IU13" s="17">
        <f t="shared" ca="1" si="115"/>
        <v>0</v>
      </c>
      <c r="IV13" s="17">
        <f t="shared" ca="1" si="80"/>
        <v>0</v>
      </c>
      <c r="IW13" s="24">
        <f t="shared" ca="1" si="80"/>
        <v>0</v>
      </c>
      <c r="IX13" s="16">
        <f t="shared" ca="1" si="116"/>
        <v>2</v>
      </c>
      <c r="IY13" s="16">
        <f t="shared" ca="1" si="116"/>
        <v>2</v>
      </c>
      <c r="IZ13" s="16">
        <f t="shared" ca="1" si="116"/>
        <v>2</v>
      </c>
      <c r="JA13" s="16">
        <f t="shared" ca="1" si="116"/>
        <v>2</v>
      </c>
      <c r="JB13" s="16">
        <f t="shared" ca="1" si="116"/>
        <v>2</v>
      </c>
      <c r="JC13" s="16">
        <f t="shared" ca="1" si="116"/>
        <v>2</v>
      </c>
      <c r="JD13" s="18">
        <f t="shared" ca="1" si="116"/>
        <v>2</v>
      </c>
    </row>
    <row r="14" spans="1:264" ht="19.5" thickBot="1" x14ac:dyDescent="0.45">
      <c r="A14" s="2"/>
      <c r="B14" s="2"/>
      <c r="C14" s="2"/>
      <c r="D14" s="2"/>
      <c r="E14" s="2"/>
      <c r="F14" s="2"/>
      <c r="G14" s="2"/>
      <c r="H14" s="14" t="s">
        <v>333</v>
      </c>
      <c r="I14" s="7">
        <f ca="1"/>
        <v>0</v>
      </c>
      <c r="J14" s="2">
        <f ca="1"/>
        <v>1</v>
      </c>
      <c r="M14" s="19">
        <f t="shared" ca="1" si="81"/>
        <v>0</v>
      </c>
      <c r="N14" s="16">
        <f t="shared" ca="1" si="81"/>
        <v>0</v>
      </c>
      <c r="O14" s="16">
        <f t="shared" ca="1" si="81"/>
        <v>0</v>
      </c>
      <c r="P14" s="16">
        <f t="shared" ca="1" si="81"/>
        <v>0</v>
      </c>
      <c r="Q14" s="16">
        <f t="shared" ca="1" si="81"/>
        <v>0</v>
      </c>
      <c r="R14" s="16">
        <f t="shared" ca="1" si="81"/>
        <v>0</v>
      </c>
      <c r="S14" s="18">
        <f t="shared" ca="1" si="81"/>
        <v>0</v>
      </c>
      <c r="T14" s="25">
        <f t="shared" ca="1" si="36"/>
        <v>0</v>
      </c>
      <c r="U14" s="26">
        <f t="shared" ca="1" si="36"/>
        <v>0</v>
      </c>
      <c r="V14" s="26">
        <f t="shared" ca="1" si="82"/>
        <v>0</v>
      </c>
      <c r="W14" s="26">
        <f t="shared" ca="1" si="82"/>
        <v>0</v>
      </c>
      <c r="X14" s="26">
        <f t="shared" ca="1" si="82"/>
        <v>0</v>
      </c>
      <c r="Y14" s="26">
        <f t="shared" ca="1" si="38"/>
        <v>0</v>
      </c>
      <c r="Z14" s="27">
        <f t="shared" ca="1" si="38"/>
        <v>0</v>
      </c>
      <c r="AA14" s="16">
        <f t="shared" ca="1" si="83"/>
        <v>0</v>
      </c>
      <c r="AB14" s="16">
        <f t="shared" ca="1" si="83"/>
        <v>0</v>
      </c>
      <c r="AC14" s="16">
        <f t="shared" ca="1" si="83"/>
        <v>0</v>
      </c>
      <c r="AD14" s="16">
        <f t="shared" ca="1" si="83"/>
        <v>0</v>
      </c>
      <c r="AE14" s="16">
        <f t="shared" ca="1" si="83"/>
        <v>0</v>
      </c>
      <c r="AF14" s="16">
        <f t="shared" ca="1" si="83"/>
        <v>0</v>
      </c>
      <c r="AG14" s="18">
        <f t="shared" ca="1" si="83"/>
        <v>0</v>
      </c>
      <c r="AH14" s="25">
        <f t="shared" ca="1" si="39"/>
        <v>2</v>
      </c>
      <c r="AI14" s="26">
        <f t="shared" ca="1" si="39"/>
        <v>2</v>
      </c>
      <c r="AJ14" s="26">
        <f t="shared" ca="1" si="84"/>
        <v>2</v>
      </c>
      <c r="AK14" s="26">
        <f t="shared" ca="1" si="84"/>
        <v>2</v>
      </c>
      <c r="AL14" s="26">
        <f t="shared" ca="1" si="84"/>
        <v>2</v>
      </c>
      <c r="AM14" s="26">
        <f t="shared" ca="1" si="41"/>
        <v>2</v>
      </c>
      <c r="AN14" s="27">
        <f t="shared" ca="1" si="41"/>
        <v>2</v>
      </c>
      <c r="AO14" s="19">
        <f t="shared" ca="1" si="85"/>
        <v>0</v>
      </c>
      <c r="AP14" s="16">
        <f t="shared" ca="1" si="85"/>
        <v>0</v>
      </c>
      <c r="AQ14" s="16">
        <f t="shared" ca="1" si="85"/>
        <v>0</v>
      </c>
      <c r="AR14" s="16">
        <f t="shared" ca="1" si="85"/>
        <v>0</v>
      </c>
      <c r="AS14" s="16">
        <f t="shared" ca="1" si="85"/>
        <v>0</v>
      </c>
      <c r="AT14" s="16">
        <f t="shared" ca="1" si="85"/>
        <v>0</v>
      </c>
      <c r="AU14" s="16">
        <f t="shared" ca="1" si="85"/>
        <v>0</v>
      </c>
      <c r="AV14" s="18">
        <f t="shared" ca="1" si="85"/>
        <v>0</v>
      </c>
      <c r="AW14" s="19">
        <f t="shared" ca="1" si="86"/>
        <v>2</v>
      </c>
      <c r="AX14" s="16">
        <f t="shared" ca="1" si="86"/>
        <v>2</v>
      </c>
      <c r="AY14" s="16">
        <f t="shared" ca="1" si="86"/>
        <v>2</v>
      </c>
      <c r="AZ14" s="16">
        <f t="shared" ca="1" si="86"/>
        <v>2</v>
      </c>
      <c r="BA14" s="16">
        <f t="shared" ca="1" si="86"/>
        <v>2</v>
      </c>
      <c r="BB14" s="16">
        <f t="shared" ca="1" si="86"/>
        <v>2</v>
      </c>
      <c r="BC14" s="25">
        <f t="shared" ca="1" si="42"/>
        <v>0</v>
      </c>
      <c r="BD14" s="26">
        <f t="shared" ca="1" si="42"/>
        <v>0</v>
      </c>
      <c r="BE14" s="26">
        <f t="shared" ca="1" si="87"/>
        <v>0</v>
      </c>
      <c r="BF14" s="26">
        <f t="shared" ca="1" si="87"/>
        <v>0</v>
      </c>
      <c r="BG14" s="26">
        <f t="shared" ca="1" si="87"/>
        <v>0</v>
      </c>
      <c r="BH14" s="26">
        <f t="shared" ca="1" si="44"/>
        <v>0</v>
      </c>
      <c r="BI14" s="27">
        <f t="shared" ca="1" si="44"/>
        <v>0</v>
      </c>
      <c r="BJ14" s="16">
        <f t="shared" ca="1" si="88"/>
        <v>0</v>
      </c>
      <c r="BK14" s="16">
        <f t="shared" ca="1" si="88"/>
        <v>0</v>
      </c>
      <c r="BL14" s="16">
        <f t="shared" ca="1" si="88"/>
        <v>0</v>
      </c>
      <c r="BM14" s="16">
        <f t="shared" ca="1" si="88"/>
        <v>0</v>
      </c>
      <c r="BN14" s="16">
        <f t="shared" ca="1" si="88"/>
        <v>0</v>
      </c>
      <c r="BO14" s="16">
        <f t="shared" ca="1" si="88"/>
        <v>0</v>
      </c>
      <c r="BP14" s="16">
        <f t="shared" ca="1" si="88"/>
        <v>0</v>
      </c>
      <c r="BQ14" s="25">
        <f t="shared" ca="1" si="45"/>
        <v>2</v>
      </c>
      <c r="BR14" s="26">
        <f t="shared" ca="1" si="45"/>
        <v>2</v>
      </c>
      <c r="BS14" s="26">
        <f t="shared" ca="1" si="89"/>
        <v>2</v>
      </c>
      <c r="BT14" s="26">
        <f t="shared" ca="1" si="89"/>
        <v>2</v>
      </c>
      <c r="BU14" s="26">
        <f t="shared" ca="1" si="89"/>
        <v>2</v>
      </c>
      <c r="BV14" s="26">
        <f t="shared" ca="1" si="47"/>
        <v>2</v>
      </c>
      <c r="BW14" s="27">
        <f t="shared" ca="1" si="47"/>
        <v>2</v>
      </c>
      <c r="BX14" s="16">
        <f t="shared" ca="1" si="90"/>
        <v>0</v>
      </c>
      <c r="BY14" s="16">
        <f t="shared" ca="1" si="90"/>
        <v>0</v>
      </c>
      <c r="BZ14" s="16">
        <f t="shared" ca="1" si="90"/>
        <v>0</v>
      </c>
      <c r="CA14" s="16">
        <f t="shared" ca="1" si="90"/>
        <v>0</v>
      </c>
      <c r="CB14" s="16">
        <f t="shared" ca="1" si="90"/>
        <v>0</v>
      </c>
      <c r="CC14" s="16">
        <f t="shared" ca="1" si="90"/>
        <v>0</v>
      </c>
      <c r="CD14" s="16">
        <f t="shared" ca="1" si="90"/>
        <v>0</v>
      </c>
      <c r="CE14" s="25">
        <f t="shared" ca="1" si="48"/>
        <v>0</v>
      </c>
      <c r="CF14" s="26">
        <f t="shared" ca="1" si="48"/>
        <v>0</v>
      </c>
      <c r="CG14" s="26">
        <f t="shared" ca="1" si="91"/>
        <v>0</v>
      </c>
      <c r="CH14" s="26">
        <f t="shared" ca="1" si="91"/>
        <v>0</v>
      </c>
      <c r="CI14" s="26">
        <f t="shared" ca="1" si="91"/>
        <v>0</v>
      </c>
      <c r="CJ14" s="26">
        <f t="shared" ca="1" si="50"/>
        <v>0</v>
      </c>
      <c r="CK14" s="27">
        <f t="shared" ca="1" si="50"/>
        <v>0</v>
      </c>
      <c r="CL14" s="16">
        <f t="shared" ca="1" si="92"/>
        <v>2</v>
      </c>
      <c r="CM14" s="16">
        <f t="shared" ca="1" si="92"/>
        <v>2</v>
      </c>
      <c r="CN14" s="16">
        <f t="shared" ca="1" si="92"/>
        <v>2</v>
      </c>
      <c r="CO14" s="16">
        <f t="shared" ca="1" si="92"/>
        <v>2</v>
      </c>
      <c r="CP14" s="16">
        <f t="shared" ca="1" si="92"/>
        <v>2</v>
      </c>
      <c r="CQ14" s="16">
        <f t="shared" ca="1" si="92"/>
        <v>2</v>
      </c>
      <c r="CR14" s="18">
        <f t="shared" ca="1" si="92"/>
        <v>2</v>
      </c>
      <c r="CS14" s="19">
        <f t="shared" ca="1" si="93"/>
        <v>0</v>
      </c>
      <c r="CT14" s="16">
        <f t="shared" ca="1" si="93"/>
        <v>0</v>
      </c>
      <c r="CU14" s="16">
        <f t="shared" ca="1" si="93"/>
        <v>0</v>
      </c>
      <c r="CV14" s="16">
        <f t="shared" ca="1" si="93"/>
        <v>0</v>
      </c>
      <c r="CW14" s="16">
        <f t="shared" ca="1" si="93"/>
        <v>0</v>
      </c>
      <c r="CX14" s="16">
        <f t="shared" ca="1" si="93"/>
        <v>0</v>
      </c>
      <c r="CY14" s="16">
        <f t="shared" ca="1" si="93"/>
        <v>0</v>
      </c>
      <c r="CZ14" s="25">
        <f t="shared" ca="1" si="51"/>
        <v>0</v>
      </c>
      <c r="DA14" s="26">
        <f t="shared" ca="1" si="51"/>
        <v>0</v>
      </c>
      <c r="DB14" s="26">
        <f t="shared" ca="1" si="94"/>
        <v>0</v>
      </c>
      <c r="DC14" s="26">
        <f t="shared" ca="1" si="94"/>
        <v>0</v>
      </c>
      <c r="DD14" s="26">
        <f t="shared" ca="1" si="94"/>
        <v>0</v>
      </c>
      <c r="DE14" s="26">
        <f t="shared" ca="1" si="53"/>
        <v>0</v>
      </c>
      <c r="DF14" s="27">
        <f t="shared" ca="1" si="53"/>
        <v>0</v>
      </c>
      <c r="DG14" s="16">
        <f t="shared" ca="1" si="95"/>
        <v>0</v>
      </c>
      <c r="DH14" s="16">
        <f t="shared" ca="1" si="95"/>
        <v>0</v>
      </c>
      <c r="DI14" s="16">
        <f t="shared" ca="1" si="95"/>
        <v>0</v>
      </c>
      <c r="DJ14" s="16">
        <f t="shared" ca="1" si="95"/>
        <v>0</v>
      </c>
      <c r="DK14" s="16">
        <f t="shared" ca="1" si="95"/>
        <v>0</v>
      </c>
      <c r="DL14" s="16">
        <f t="shared" ca="1" si="95"/>
        <v>0</v>
      </c>
      <c r="DM14" s="16">
        <f t="shared" ca="1" si="95"/>
        <v>0</v>
      </c>
      <c r="DN14" s="25">
        <f t="shared" ca="1" si="54"/>
        <v>2</v>
      </c>
      <c r="DO14" s="26">
        <f t="shared" ca="1" si="54"/>
        <v>2</v>
      </c>
      <c r="DP14" s="26">
        <f t="shared" ca="1" si="96"/>
        <v>2</v>
      </c>
      <c r="DQ14" s="26">
        <f t="shared" ca="1" si="96"/>
        <v>2</v>
      </c>
      <c r="DR14" s="26">
        <f t="shared" ca="1" si="96"/>
        <v>2</v>
      </c>
      <c r="DS14" s="26">
        <f t="shared" ca="1" si="56"/>
        <v>2</v>
      </c>
      <c r="DT14" s="27">
        <f t="shared" ca="1" si="56"/>
        <v>2</v>
      </c>
      <c r="DU14" s="16">
        <f t="shared" ca="1" si="97"/>
        <v>0</v>
      </c>
      <c r="DV14" s="16">
        <f t="shared" ca="1" si="97"/>
        <v>0</v>
      </c>
      <c r="DW14" s="16">
        <f t="shared" ca="1" si="97"/>
        <v>0</v>
      </c>
      <c r="DX14" s="16">
        <f t="shared" ca="1" si="97"/>
        <v>0</v>
      </c>
      <c r="DY14" s="16">
        <f t="shared" ca="1" si="97"/>
        <v>0</v>
      </c>
      <c r="DZ14" s="16">
        <f t="shared" ca="1" si="97"/>
        <v>0</v>
      </c>
      <c r="EA14" s="16">
        <f t="shared" ca="1" si="97"/>
        <v>0</v>
      </c>
      <c r="EB14" s="18">
        <f t="shared" ca="1" si="97"/>
        <v>0</v>
      </c>
      <c r="EC14" s="19">
        <f t="shared" ca="1" si="98"/>
        <v>2</v>
      </c>
      <c r="ED14" s="16">
        <f t="shared" ca="1" si="98"/>
        <v>2</v>
      </c>
      <c r="EE14" s="16">
        <f t="shared" ca="1" si="98"/>
        <v>2</v>
      </c>
      <c r="EF14" s="16">
        <f t="shared" ca="1" si="98"/>
        <v>2</v>
      </c>
      <c r="EG14" s="16">
        <f t="shared" ca="1" si="98"/>
        <v>2</v>
      </c>
      <c r="EH14" s="16">
        <f t="shared" ca="1" si="98"/>
        <v>2</v>
      </c>
      <c r="EI14" s="25">
        <f t="shared" ca="1" si="57"/>
        <v>0</v>
      </c>
      <c r="EJ14" s="26">
        <f t="shared" ca="1" si="57"/>
        <v>0</v>
      </c>
      <c r="EK14" s="26">
        <f t="shared" ca="1" si="99"/>
        <v>0</v>
      </c>
      <c r="EL14" s="26">
        <f t="shared" ca="1" si="99"/>
        <v>0</v>
      </c>
      <c r="EM14" s="26">
        <f t="shared" ca="1" si="99"/>
        <v>0</v>
      </c>
      <c r="EN14" s="26">
        <f t="shared" ca="1" si="59"/>
        <v>0</v>
      </c>
      <c r="EO14" s="27">
        <f t="shared" ca="1" si="59"/>
        <v>0</v>
      </c>
      <c r="EP14" s="16">
        <f t="shared" ca="1" si="100"/>
        <v>0</v>
      </c>
      <c r="EQ14" s="16">
        <f t="shared" ca="1" si="100"/>
        <v>0</v>
      </c>
      <c r="ER14" s="16">
        <f t="shared" ca="1" si="100"/>
        <v>0</v>
      </c>
      <c r="ES14" s="16">
        <f t="shared" ca="1" si="100"/>
        <v>0</v>
      </c>
      <c r="ET14" s="16">
        <f t="shared" ca="1" si="100"/>
        <v>0</v>
      </c>
      <c r="EU14" s="16">
        <f t="shared" ca="1" si="100"/>
        <v>0</v>
      </c>
      <c r="EV14" s="16">
        <f t="shared" ca="1" si="100"/>
        <v>0</v>
      </c>
      <c r="EW14" s="25">
        <f t="shared" ca="1" si="60"/>
        <v>2</v>
      </c>
      <c r="EX14" s="26">
        <f t="shared" ca="1" si="60"/>
        <v>2</v>
      </c>
      <c r="EY14" s="26">
        <f t="shared" ca="1" si="101"/>
        <v>2</v>
      </c>
      <c r="EZ14" s="26">
        <f t="shared" ca="1" si="101"/>
        <v>2</v>
      </c>
      <c r="FA14" s="26">
        <f t="shared" ca="1" si="101"/>
        <v>2</v>
      </c>
      <c r="FB14" s="26">
        <f t="shared" ca="1" si="62"/>
        <v>2</v>
      </c>
      <c r="FC14" s="27">
        <f t="shared" ca="1" si="62"/>
        <v>2</v>
      </c>
      <c r="FD14" s="16">
        <f t="shared" ca="1" si="102"/>
        <v>0</v>
      </c>
      <c r="FE14" s="16">
        <f t="shared" ca="1" si="102"/>
        <v>0</v>
      </c>
      <c r="FF14" s="16">
        <f t="shared" ca="1" si="102"/>
        <v>0</v>
      </c>
      <c r="FG14" s="16">
        <f t="shared" ca="1" si="102"/>
        <v>0</v>
      </c>
      <c r="FH14" s="16">
        <f t="shared" ca="1" si="102"/>
        <v>0</v>
      </c>
      <c r="FI14" s="16">
        <f t="shared" ca="1" si="102"/>
        <v>0</v>
      </c>
      <c r="FJ14" s="16">
        <f t="shared" ca="1" si="102"/>
        <v>0</v>
      </c>
      <c r="FK14" s="25">
        <f t="shared" ca="1" si="63"/>
        <v>0</v>
      </c>
      <c r="FL14" s="26">
        <f t="shared" ca="1" si="63"/>
        <v>0</v>
      </c>
      <c r="FM14" s="26">
        <f t="shared" ca="1" si="103"/>
        <v>0</v>
      </c>
      <c r="FN14" s="26">
        <f t="shared" ca="1" si="103"/>
        <v>0</v>
      </c>
      <c r="FO14" s="26">
        <f t="shared" ca="1" si="103"/>
        <v>0</v>
      </c>
      <c r="FP14" s="26">
        <f t="shared" ca="1" si="65"/>
        <v>0</v>
      </c>
      <c r="FQ14" s="27">
        <f t="shared" ca="1" si="65"/>
        <v>0</v>
      </c>
      <c r="FR14" s="16">
        <f t="shared" ca="1" si="104"/>
        <v>2</v>
      </c>
      <c r="FS14" s="16">
        <f t="shared" ca="1" si="104"/>
        <v>2</v>
      </c>
      <c r="FT14" s="16">
        <f t="shared" ca="1" si="104"/>
        <v>2</v>
      </c>
      <c r="FU14" s="16">
        <f t="shared" ca="1" si="104"/>
        <v>2</v>
      </c>
      <c r="FV14" s="16">
        <f t="shared" ca="1" si="104"/>
        <v>2</v>
      </c>
      <c r="FW14" s="16">
        <f t="shared" ca="1" si="104"/>
        <v>2</v>
      </c>
      <c r="FX14" s="18">
        <f t="shared" ca="1" si="104"/>
        <v>2</v>
      </c>
      <c r="FY14" s="19">
        <f t="shared" ca="1" si="105"/>
        <v>0</v>
      </c>
      <c r="FZ14" s="16">
        <f t="shared" ca="1" si="105"/>
        <v>0</v>
      </c>
      <c r="GA14" s="16">
        <f t="shared" ca="1" si="105"/>
        <v>0</v>
      </c>
      <c r="GB14" s="16">
        <f t="shared" ca="1" si="105"/>
        <v>0</v>
      </c>
      <c r="GC14" s="16">
        <f t="shared" ca="1" si="105"/>
        <v>0</v>
      </c>
      <c r="GD14" s="16">
        <f t="shared" ca="1" si="105"/>
        <v>0</v>
      </c>
      <c r="GE14" s="16">
        <f t="shared" ca="1" si="105"/>
        <v>0</v>
      </c>
      <c r="GF14" s="25">
        <f t="shared" ca="1" si="66"/>
        <v>0</v>
      </c>
      <c r="GG14" s="26">
        <f t="shared" ca="1" si="66"/>
        <v>0</v>
      </c>
      <c r="GH14" s="26">
        <f t="shared" ca="1" si="106"/>
        <v>0</v>
      </c>
      <c r="GI14" s="26">
        <f t="shared" ca="1" si="106"/>
        <v>0</v>
      </c>
      <c r="GJ14" s="26">
        <f t="shared" ca="1" si="106"/>
        <v>0</v>
      </c>
      <c r="GK14" s="26">
        <f t="shared" ca="1" si="68"/>
        <v>0</v>
      </c>
      <c r="GL14" s="27">
        <f t="shared" ca="1" si="68"/>
        <v>0</v>
      </c>
      <c r="GM14" s="16">
        <f t="shared" ca="1" si="107"/>
        <v>0</v>
      </c>
      <c r="GN14" s="16">
        <f t="shared" ca="1" si="107"/>
        <v>0</v>
      </c>
      <c r="GO14" s="16">
        <f t="shared" ca="1" si="107"/>
        <v>0</v>
      </c>
      <c r="GP14" s="16">
        <f t="shared" ca="1" si="107"/>
        <v>0</v>
      </c>
      <c r="GQ14" s="16">
        <f t="shared" ca="1" si="107"/>
        <v>0</v>
      </c>
      <c r="GR14" s="16">
        <f t="shared" ca="1" si="107"/>
        <v>0</v>
      </c>
      <c r="GS14" s="16">
        <f t="shared" ca="1" si="107"/>
        <v>0</v>
      </c>
      <c r="GT14" s="25">
        <f t="shared" ca="1" si="69"/>
        <v>2</v>
      </c>
      <c r="GU14" s="26">
        <f t="shared" ca="1" si="69"/>
        <v>2</v>
      </c>
      <c r="GV14" s="26">
        <f t="shared" ca="1" si="108"/>
        <v>2</v>
      </c>
      <c r="GW14" s="26">
        <f t="shared" ca="1" si="108"/>
        <v>2</v>
      </c>
      <c r="GX14" s="26">
        <f t="shared" ca="1" si="108"/>
        <v>2</v>
      </c>
      <c r="GY14" s="26">
        <f t="shared" ca="1" si="71"/>
        <v>2</v>
      </c>
      <c r="GZ14" s="27">
        <f t="shared" ca="1" si="71"/>
        <v>2</v>
      </c>
      <c r="HA14" s="16">
        <f t="shared" ca="1" si="109"/>
        <v>0</v>
      </c>
      <c r="HB14" s="16">
        <f t="shared" ca="1" si="109"/>
        <v>0</v>
      </c>
      <c r="HC14" s="16">
        <f t="shared" ca="1" si="109"/>
        <v>0</v>
      </c>
      <c r="HD14" s="16">
        <f t="shared" ca="1" si="109"/>
        <v>0</v>
      </c>
      <c r="HE14" s="16">
        <f t="shared" ca="1" si="109"/>
        <v>0</v>
      </c>
      <c r="HF14" s="16">
        <f t="shared" ca="1" si="109"/>
        <v>0</v>
      </c>
      <c r="HG14" s="16">
        <f t="shared" ca="1" si="109"/>
        <v>0</v>
      </c>
      <c r="HH14" s="18">
        <f t="shared" ca="1" si="109"/>
        <v>0</v>
      </c>
      <c r="HI14" s="19">
        <f t="shared" ca="1" si="110"/>
        <v>2</v>
      </c>
      <c r="HJ14" s="16">
        <f t="shared" ca="1" si="110"/>
        <v>2</v>
      </c>
      <c r="HK14" s="16">
        <f t="shared" ca="1" si="110"/>
        <v>2</v>
      </c>
      <c r="HL14" s="16">
        <f t="shared" ca="1" si="110"/>
        <v>2</v>
      </c>
      <c r="HM14" s="16">
        <f t="shared" ca="1" si="110"/>
        <v>2</v>
      </c>
      <c r="HN14" s="16">
        <f t="shared" ca="1" si="110"/>
        <v>2</v>
      </c>
      <c r="HO14" s="25">
        <f t="shared" ca="1" si="72"/>
        <v>0</v>
      </c>
      <c r="HP14" s="26">
        <f t="shared" ca="1" si="72"/>
        <v>0</v>
      </c>
      <c r="HQ14" s="26">
        <f t="shared" ca="1" si="111"/>
        <v>0</v>
      </c>
      <c r="HR14" s="26">
        <f t="shared" ca="1" si="111"/>
        <v>0</v>
      </c>
      <c r="HS14" s="26">
        <f t="shared" ca="1" si="111"/>
        <v>0</v>
      </c>
      <c r="HT14" s="26">
        <f t="shared" ca="1" si="74"/>
        <v>0</v>
      </c>
      <c r="HU14" s="27">
        <f t="shared" ca="1" si="74"/>
        <v>0</v>
      </c>
      <c r="HV14" s="16">
        <f t="shared" ca="1" si="112"/>
        <v>0</v>
      </c>
      <c r="HW14" s="16">
        <f t="shared" ca="1" si="112"/>
        <v>0</v>
      </c>
      <c r="HX14" s="16">
        <f t="shared" ca="1" si="112"/>
        <v>0</v>
      </c>
      <c r="HY14" s="16">
        <f t="shared" ca="1" si="112"/>
        <v>0</v>
      </c>
      <c r="HZ14" s="16">
        <f t="shared" ca="1" si="112"/>
        <v>0</v>
      </c>
      <c r="IA14" s="16">
        <f t="shared" ca="1" si="112"/>
        <v>0</v>
      </c>
      <c r="IB14" s="16">
        <f t="shared" ca="1" si="112"/>
        <v>0</v>
      </c>
      <c r="IC14" s="25">
        <f t="shared" ca="1" si="75"/>
        <v>2</v>
      </c>
      <c r="ID14" s="26">
        <f t="shared" ca="1" si="75"/>
        <v>2</v>
      </c>
      <c r="IE14" s="26">
        <f t="shared" ca="1" si="113"/>
        <v>2</v>
      </c>
      <c r="IF14" s="26">
        <f t="shared" ca="1" si="113"/>
        <v>2</v>
      </c>
      <c r="IG14" s="26">
        <f t="shared" ca="1" si="113"/>
        <v>2</v>
      </c>
      <c r="IH14" s="26">
        <f t="shared" ca="1" si="77"/>
        <v>2</v>
      </c>
      <c r="II14" s="27">
        <f t="shared" ca="1" si="77"/>
        <v>2</v>
      </c>
      <c r="IJ14" s="16">
        <f t="shared" ca="1" si="114"/>
        <v>0</v>
      </c>
      <c r="IK14" s="16">
        <f t="shared" ca="1" si="114"/>
        <v>0</v>
      </c>
      <c r="IL14" s="16">
        <f t="shared" ca="1" si="114"/>
        <v>0</v>
      </c>
      <c r="IM14" s="16">
        <f t="shared" ca="1" si="114"/>
        <v>0</v>
      </c>
      <c r="IN14" s="16">
        <f t="shared" ca="1" si="114"/>
        <v>0</v>
      </c>
      <c r="IO14" s="16">
        <f t="shared" ca="1" si="114"/>
        <v>0</v>
      </c>
      <c r="IP14" s="16">
        <f t="shared" ca="1" si="114"/>
        <v>0</v>
      </c>
      <c r="IQ14" s="25">
        <f t="shared" ca="1" si="78"/>
        <v>0</v>
      </c>
      <c r="IR14" s="26">
        <f t="shared" ca="1" si="78"/>
        <v>0</v>
      </c>
      <c r="IS14" s="26">
        <f t="shared" ca="1" si="115"/>
        <v>0</v>
      </c>
      <c r="IT14" s="26">
        <f t="shared" ca="1" si="115"/>
        <v>0</v>
      </c>
      <c r="IU14" s="26">
        <f t="shared" ca="1" si="115"/>
        <v>0</v>
      </c>
      <c r="IV14" s="26">
        <f t="shared" ca="1" si="80"/>
        <v>0</v>
      </c>
      <c r="IW14" s="27">
        <f t="shared" ca="1" si="80"/>
        <v>0</v>
      </c>
      <c r="IX14" s="16">
        <f t="shared" ca="1" si="116"/>
        <v>2</v>
      </c>
      <c r="IY14" s="16">
        <f t="shared" ca="1" si="116"/>
        <v>2</v>
      </c>
      <c r="IZ14" s="16">
        <f t="shared" ca="1" si="116"/>
        <v>2</v>
      </c>
      <c r="JA14" s="16">
        <f t="shared" ca="1" si="116"/>
        <v>2</v>
      </c>
      <c r="JB14" s="16">
        <f t="shared" ca="1" si="116"/>
        <v>2</v>
      </c>
      <c r="JC14" s="16">
        <f t="shared" ca="1" si="116"/>
        <v>2</v>
      </c>
      <c r="JD14" s="18">
        <f t="shared" ca="1" si="116"/>
        <v>2</v>
      </c>
    </row>
    <row r="15" spans="1:264" ht="19.5" thickTop="1" x14ac:dyDescent="0.4">
      <c r="A15" s="2"/>
      <c r="B15" s="2"/>
      <c r="C15" s="2"/>
      <c r="D15" s="2"/>
      <c r="E15" s="2"/>
      <c r="F15" s="2"/>
      <c r="G15" s="2"/>
      <c r="H15" s="14" t="s">
        <v>323</v>
      </c>
      <c r="I15" s="7">
        <f ca="1"/>
        <v>2</v>
      </c>
      <c r="J15" s="2">
        <f ca="1"/>
        <v>3</v>
      </c>
      <c r="M15" s="19">
        <f t="shared" ca="1" si="81"/>
        <v>0</v>
      </c>
      <c r="N15" s="16">
        <f t="shared" ca="1" si="81"/>
        <v>0</v>
      </c>
      <c r="O15" s="16">
        <f t="shared" ca="1" si="81"/>
        <v>0</v>
      </c>
      <c r="P15" s="16">
        <f t="shared" ca="1" si="81"/>
        <v>0</v>
      </c>
      <c r="Q15" s="16">
        <f t="shared" ca="1" si="81"/>
        <v>0</v>
      </c>
      <c r="R15" s="16">
        <f t="shared" ca="1" si="81"/>
        <v>0</v>
      </c>
      <c r="S15" s="16">
        <f t="shared" ca="1" si="81"/>
        <v>0</v>
      </c>
      <c r="T15" s="16">
        <f t="shared" ref="T15:X17" ca="1" si="117">$I$4</f>
        <v>0</v>
      </c>
      <c r="U15" s="16">
        <f t="shared" ca="1" si="117"/>
        <v>0</v>
      </c>
      <c r="V15" s="16">
        <f t="shared" ca="1" si="117"/>
        <v>0</v>
      </c>
      <c r="W15" s="16">
        <f t="shared" ca="1" si="117"/>
        <v>0</v>
      </c>
      <c r="X15" s="29">
        <f t="shared" ca="1" si="117"/>
        <v>0</v>
      </c>
      <c r="Y15" s="30">
        <f t="shared" ref="Y15:Z22" ca="1" si="118">$I$6</f>
        <v>0</v>
      </c>
      <c r="Z15" s="16">
        <f t="shared" ca="1" si="118"/>
        <v>0</v>
      </c>
      <c r="AA15" s="16">
        <f t="shared" ca="1" si="83"/>
        <v>0</v>
      </c>
      <c r="AB15" s="16">
        <f t="shared" ca="1" si="83"/>
        <v>0</v>
      </c>
      <c r="AC15" s="16">
        <f t="shared" ca="1" si="83"/>
        <v>0</v>
      </c>
      <c r="AD15" s="16">
        <f t="shared" ca="1" si="83"/>
        <v>0</v>
      </c>
      <c r="AE15" s="16">
        <f t="shared" ca="1" si="83"/>
        <v>0</v>
      </c>
      <c r="AF15" s="16">
        <f t="shared" ca="1" si="83"/>
        <v>0</v>
      </c>
      <c r="AG15" s="16">
        <f t="shared" ca="1" si="83"/>
        <v>0</v>
      </c>
      <c r="AH15" s="31">
        <f t="shared" ref="AH15:AJ22" ca="1" si="119">$I$6</f>
        <v>0</v>
      </c>
      <c r="AI15" s="31">
        <f t="shared" ca="1" si="119"/>
        <v>0</v>
      </c>
      <c r="AJ15" s="29">
        <f t="shared" ca="1" si="119"/>
        <v>0</v>
      </c>
      <c r="AK15" s="30">
        <f t="shared" ref="AK15:AN22" ca="1" si="120">$I$8</f>
        <v>0</v>
      </c>
      <c r="AL15" s="31">
        <f t="shared" ca="1" si="120"/>
        <v>0</v>
      </c>
      <c r="AM15" s="31">
        <f t="shared" ca="1" si="120"/>
        <v>0</v>
      </c>
      <c r="AN15" s="31">
        <f t="shared" ca="1" si="120"/>
        <v>0</v>
      </c>
      <c r="AO15" s="16">
        <f t="shared" ca="1" si="85"/>
        <v>0</v>
      </c>
      <c r="AP15" s="16">
        <f t="shared" ca="1" si="85"/>
        <v>0</v>
      </c>
      <c r="AQ15" s="16">
        <f t="shared" ca="1" si="85"/>
        <v>0</v>
      </c>
      <c r="AR15" s="16">
        <f t="shared" ca="1" si="85"/>
        <v>0</v>
      </c>
      <c r="AS15" s="16">
        <f t="shared" ca="1" si="85"/>
        <v>0</v>
      </c>
      <c r="AT15" s="16">
        <f t="shared" ca="1" si="85"/>
        <v>0</v>
      </c>
      <c r="AU15" s="16">
        <f t="shared" ca="1" si="85"/>
        <v>0</v>
      </c>
      <c r="AV15" s="18">
        <f t="shared" ca="1" si="85"/>
        <v>0</v>
      </c>
      <c r="AW15" s="19">
        <f t="shared" ca="1" si="86"/>
        <v>2</v>
      </c>
      <c r="AX15" s="16">
        <f t="shared" ca="1" si="86"/>
        <v>2</v>
      </c>
      <c r="AY15" s="16">
        <f t="shared" ca="1" si="86"/>
        <v>2</v>
      </c>
      <c r="AZ15" s="16">
        <f t="shared" ca="1" si="86"/>
        <v>2</v>
      </c>
      <c r="BA15" s="16">
        <f t="shared" ca="1" si="86"/>
        <v>2</v>
      </c>
      <c r="BB15" s="16">
        <f t="shared" ca="1" si="86"/>
        <v>2</v>
      </c>
      <c r="BC15" s="16">
        <f t="shared" ref="BC15:BH17" ca="1" si="121">$I$9</f>
        <v>2</v>
      </c>
      <c r="BD15" s="16">
        <f t="shared" ca="1" si="121"/>
        <v>2</v>
      </c>
      <c r="BE15" s="16">
        <f t="shared" ca="1" si="121"/>
        <v>2</v>
      </c>
      <c r="BF15" s="16">
        <f t="shared" ca="1" si="121"/>
        <v>2</v>
      </c>
      <c r="BG15" s="16">
        <f t="shared" ca="1" si="121"/>
        <v>2</v>
      </c>
      <c r="BH15" s="18">
        <f t="shared" ca="1" si="121"/>
        <v>2</v>
      </c>
      <c r="BI15" s="19">
        <f t="shared" ref="BI15:BI22" ca="1" si="122">$I$11</f>
        <v>0</v>
      </c>
      <c r="BJ15" s="16">
        <f t="shared" ca="1" si="88"/>
        <v>0</v>
      </c>
      <c r="BK15" s="16">
        <f t="shared" ca="1" si="88"/>
        <v>0</v>
      </c>
      <c r="BL15" s="16">
        <f t="shared" ca="1" si="88"/>
        <v>0</v>
      </c>
      <c r="BM15" s="16">
        <f t="shared" ca="1" si="88"/>
        <v>0</v>
      </c>
      <c r="BN15" s="16">
        <f t="shared" ca="1" si="88"/>
        <v>0</v>
      </c>
      <c r="BO15" s="16">
        <f t="shared" ca="1" si="88"/>
        <v>0</v>
      </c>
      <c r="BP15" s="16">
        <f t="shared" ca="1" si="88"/>
        <v>0</v>
      </c>
      <c r="BQ15" s="16">
        <f t="shared" ref="BQ15:BT22" ca="1" si="123">$I$11</f>
        <v>0</v>
      </c>
      <c r="BR15" s="16">
        <f t="shared" ca="1" si="123"/>
        <v>0</v>
      </c>
      <c r="BS15" s="16">
        <f t="shared" ca="1" si="123"/>
        <v>0</v>
      </c>
      <c r="BT15" s="18">
        <f t="shared" ca="1" si="123"/>
        <v>0</v>
      </c>
      <c r="BU15" s="19">
        <f t="shared" ref="BU15:BW22" ca="1" si="124">$I$13</f>
        <v>0</v>
      </c>
      <c r="BV15" s="16">
        <f t="shared" ca="1" si="124"/>
        <v>0</v>
      </c>
      <c r="BW15" s="16">
        <f t="shared" ca="1" si="124"/>
        <v>0</v>
      </c>
      <c r="BX15" s="16">
        <f t="shared" ca="1" si="90"/>
        <v>0</v>
      </c>
      <c r="BY15" s="16">
        <f t="shared" ca="1" si="90"/>
        <v>0</v>
      </c>
      <c r="BZ15" s="16">
        <f t="shared" ca="1" si="90"/>
        <v>0</v>
      </c>
      <c r="CA15" s="16">
        <f t="shared" ca="1" si="90"/>
        <v>0</v>
      </c>
      <c r="CB15" s="16">
        <f t="shared" ca="1" si="90"/>
        <v>0</v>
      </c>
      <c r="CC15" s="16">
        <f t="shared" ca="1" si="90"/>
        <v>0</v>
      </c>
      <c r="CD15" s="16">
        <f t="shared" ca="1" si="90"/>
        <v>0</v>
      </c>
      <c r="CE15" s="16">
        <f t="shared" ref="CE15:CF22" ca="1" si="125">$I$13</f>
        <v>0</v>
      </c>
      <c r="CF15" s="18">
        <f t="shared" ca="1" si="125"/>
        <v>0</v>
      </c>
      <c r="CG15" s="19">
        <f t="shared" ref="CG15:CK17" ca="1" si="126">$I$15</f>
        <v>2</v>
      </c>
      <c r="CH15" s="16">
        <f t="shared" ca="1" si="126"/>
        <v>2</v>
      </c>
      <c r="CI15" s="16">
        <f t="shared" ca="1" si="126"/>
        <v>2</v>
      </c>
      <c r="CJ15" s="16">
        <f t="shared" ca="1" si="126"/>
        <v>2</v>
      </c>
      <c r="CK15" s="16">
        <f t="shared" ca="1" si="126"/>
        <v>2</v>
      </c>
      <c r="CL15" s="16">
        <f t="shared" ca="1" si="92"/>
        <v>2</v>
      </c>
      <c r="CM15" s="16">
        <f t="shared" ca="1" si="92"/>
        <v>2</v>
      </c>
      <c r="CN15" s="16">
        <f t="shared" ca="1" si="92"/>
        <v>2</v>
      </c>
      <c r="CO15" s="16">
        <f t="shared" ca="1" si="92"/>
        <v>2</v>
      </c>
      <c r="CP15" s="16">
        <f t="shared" ca="1" si="92"/>
        <v>2</v>
      </c>
      <c r="CQ15" s="16">
        <f t="shared" ca="1" si="92"/>
        <v>2</v>
      </c>
      <c r="CR15" s="18">
        <f t="shared" ca="1" si="92"/>
        <v>2</v>
      </c>
      <c r="CS15" s="19">
        <f t="shared" ca="1" si="93"/>
        <v>0</v>
      </c>
      <c r="CT15" s="16">
        <f t="shared" ca="1" si="93"/>
        <v>0</v>
      </c>
      <c r="CU15" s="16">
        <f t="shared" ca="1" si="93"/>
        <v>0</v>
      </c>
      <c r="CV15" s="16">
        <f t="shared" ca="1" si="93"/>
        <v>0</v>
      </c>
      <c r="CW15" s="16">
        <f t="shared" ca="1" si="93"/>
        <v>0</v>
      </c>
      <c r="CX15" s="16">
        <f t="shared" ca="1" si="93"/>
        <v>0</v>
      </c>
      <c r="CY15" s="16">
        <f t="shared" ca="1" si="93"/>
        <v>0</v>
      </c>
      <c r="CZ15" s="16">
        <f t="shared" ref="CZ15:DD17" ca="1" si="127">$I$4</f>
        <v>0</v>
      </c>
      <c r="DA15" s="16">
        <f t="shared" ca="1" si="127"/>
        <v>0</v>
      </c>
      <c r="DB15" s="16">
        <f t="shared" ca="1" si="127"/>
        <v>0</v>
      </c>
      <c r="DC15" s="16">
        <f t="shared" ca="1" si="127"/>
        <v>0</v>
      </c>
      <c r="DD15" s="18">
        <f t="shared" ca="1" si="127"/>
        <v>0</v>
      </c>
      <c r="DE15" s="19">
        <f t="shared" ref="DE15:DF22" ca="1" si="128">$I$6</f>
        <v>0</v>
      </c>
      <c r="DF15" s="16">
        <f t="shared" ca="1" si="128"/>
        <v>0</v>
      </c>
      <c r="DG15" s="16">
        <f t="shared" ca="1" si="95"/>
        <v>0</v>
      </c>
      <c r="DH15" s="16">
        <f t="shared" ca="1" si="95"/>
        <v>0</v>
      </c>
      <c r="DI15" s="16">
        <f t="shared" ca="1" si="95"/>
        <v>0</v>
      </c>
      <c r="DJ15" s="16">
        <f t="shared" ca="1" si="95"/>
        <v>0</v>
      </c>
      <c r="DK15" s="16">
        <f t="shared" ca="1" si="95"/>
        <v>0</v>
      </c>
      <c r="DL15" s="16">
        <f t="shared" ca="1" si="95"/>
        <v>0</v>
      </c>
      <c r="DM15" s="16">
        <f t="shared" ca="1" si="95"/>
        <v>0</v>
      </c>
      <c r="DN15" s="16">
        <f t="shared" ref="DN15:DP22" ca="1" si="129">$I$6</f>
        <v>0</v>
      </c>
      <c r="DO15" s="16">
        <f t="shared" ca="1" si="129"/>
        <v>0</v>
      </c>
      <c r="DP15" s="18">
        <f t="shared" ca="1" si="129"/>
        <v>0</v>
      </c>
      <c r="DQ15" s="19">
        <f t="shared" ref="DQ15:DT22" ca="1" si="130">$I$8</f>
        <v>0</v>
      </c>
      <c r="DR15" s="16">
        <f t="shared" ca="1" si="130"/>
        <v>0</v>
      </c>
      <c r="DS15" s="16">
        <f t="shared" ca="1" si="130"/>
        <v>0</v>
      </c>
      <c r="DT15" s="16">
        <f t="shared" ca="1" si="130"/>
        <v>0</v>
      </c>
      <c r="DU15" s="16">
        <f t="shared" ca="1" si="97"/>
        <v>0</v>
      </c>
      <c r="DV15" s="16">
        <f t="shared" ca="1" si="97"/>
        <v>0</v>
      </c>
      <c r="DW15" s="16">
        <f t="shared" ca="1" si="97"/>
        <v>0</v>
      </c>
      <c r="DX15" s="16">
        <f t="shared" ca="1" si="97"/>
        <v>0</v>
      </c>
      <c r="DY15" s="16">
        <f t="shared" ca="1" si="97"/>
        <v>0</v>
      </c>
      <c r="DZ15" s="16">
        <f t="shared" ca="1" si="97"/>
        <v>0</v>
      </c>
      <c r="EA15" s="16">
        <f t="shared" ca="1" si="97"/>
        <v>0</v>
      </c>
      <c r="EB15" s="18">
        <f t="shared" ca="1" si="97"/>
        <v>0</v>
      </c>
      <c r="EC15" s="19">
        <f t="shared" ca="1" si="98"/>
        <v>2</v>
      </c>
      <c r="ED15" s="16">
        <f t="shared" ca="1" si="98"/>
        <v>2</v>
      </c>
      <c r="EE15" s="16">
        <f t="shared" ca="1" si="98"/>
        <v>2</v>
      </c>
      <c r="EF15" s="16">
        <f t="shared" ca="1" si="98"/>
        <v>2</v>
      </c>
      <c r="EG15" s="16">
        <f t="shared" ca="1" si="98"/>
        <v>2</v>
      </c>
      <c r="EH15" s="16">
        <f t="shared" ca="1" si="98"/>
        <v>2</v>
      </c>
      <c r="EI15" s="16">
        <f t="shared" ref="EI15:EN17" ca="1" si="131">$I$9</f>
        <v>2</v>
      </c>
      <c r="EJ15" s="16">
        <f t="shared" ca="1" si="131"/>
        <v>2</v>
      </c>
      <c r="EK15" s="16">
        <f t="shared" ca="1" si="131"/>
        <v>2</v>
      </c>
      <c r="EL15" s="16">
        <f t="shared" ca="1" si="131"/>
        <v>2</v>
      </c>
      <c r="EM15" s="16">
        <f t="shared" ca="1" si="131"/>
        <v>2</v>
      </c>
      <c r="EN15" s="18">
        <f t="shared" ca="1" si="131"/>
        <v>2</v>
      </c>
      <c r="EO15" s="19">
        <f t="shared" ref="EO15:EO22" ca="1" si="132">$I$11</f>
        <v>0</v>
      </c>
      <c r="EP15" s="16">
        <f t="shared" ca="1" si="100"/>
        <v>0</v>
      </c>
      <c r="EQ15" s="16">
        <f t="shared" ca="1" si="100"/>
        <v>0</v>
      </c>
      <c r="ER15" s="16">
        <f t="shared" ca="1" si="100"/>
        <v>0</v>
      </c>
      <c r="ES15" s="16">
        <f t="shared" ca="1" si="100"/>
        <v>0</v>
      </c>
      <c r="ET15" s="16">
        <f t="shared" ca="1" si="100"/>
        <v>0</v>
      </c>
      <c r="EU15" s="16">
        <f t="shared" ca="1" si="100"/>
        <v>0</v>
      </c>
      <c r="EV15" s="16">
        <f t="shared" ca="1" si="100"/>
        <v>0</v>
      </c>
      <c r="EW15" s="16">
        <f t="shared" ref="EW15:EZ22" ca="1" si="133">$I$11</f>
        <v>0</v>
      </c>
      <c r="EX15" s="16">
        <f t="shared" ca="1" si="133"/>
        <v>0</v>
      </c>
      <c r="EY15" s="16">
        <f t="shared" ca="1" si="133"/>
        <v>0</v>
      </c>
      <c r="EZ15" s="18">
        <f t="shared" ca="1" si="133"/>
        <v>0</v>
      </c>
      <c r="FA15" s="19">
        <f t="shared" ref="FA15:FC22" ca="1" si="134">$I$13</f>
        <v>0</v>
      </c>
      <c r="FB15" s="16">
        <f t="shared" ca="1" si="134"/>
        <v>0</v>
      </c>
      <c r="FC15" s="16">
        <f t="shared" ca="1" si="134"/>
        <v>0</v>
      </c>
      <c r="FD15" s="16">
        <f t="shared" ca="1" si="102"/>
        <v>0</v>
      </c>
      <c r="FE15" s="16">
        <f t="shared" ca="1" si="102"/>
        <v>0</v>
      </c>
      <c r="FF15" s="16">
        <f t="shared" ca="1" si="102"/>
        <v>0</v>
      </c>
      <c r="FG15" s="16">
        <f t="shared" ca="1" si="102"/>
        <v>0</v>
      </c>
      <c r="FH15" s="16">
        <f t="shared" ca="1" si="102"/>
        <v>0</v>
      </c>
      <c r="FI15" s="16">
        <f t="shared" ca="1" si="102"/>
        <v>0</v>
      </c>
      <c r="FJ15" s="16">
        <f t="shared" ca="1" si="102"/>
        <v>0</v>
      </c>
      <c r="FK15" s="16">
        <f t="shared" ref="FK15:FL22" ca="1" si="135">$I$13</f>
        <v>0</v>
      </c>
      <c r="FL15" s="18">
        <f t="shared" ca="1" si="135"/>
        <v>0</v>
      </c>
      <c r="FM15" s="19">
        <f t="shared" ref="FM15:FQ17" ca="1" si="136">$I$15</f>
        <v>2</v>
      </c>
      <c r="FN15" s="16">
        <f t="shared" ca="1" si="136"/>
        <v>2</v>
      </c>
      <c r="FO15" s="16">
        <f t="shared" ca="1" si="136"/>
        <v>2</v>
      </c>
      <c r="FP15" s="16">
        <f t="shared" ca="1" si="136"/>
        <v>2</v>
      </c>
      <c r="FQ15" s="16">
        <f t="shared" ca="1" si="136"/>
        <v>2</v>
      </c>
      <c r="FR15" s="16">
        <f t="shared" ca="1" si="104"/>
        <v>2</v>
      </c>
      <c r="FS15" s="16">
        <f t="shared" ca="1" si="104"/>
        <v>2</v>
      </c>
      <c r="FT15" s="16">
        <f t="shared" ca="1" si="104"/>
        <v>2</v>
      </c>
      <c r="FU15" s="16">
        <f t="shared" ca="1" si="104"/>
        <v>2</v>
      </c>
      <c r="FV15" s="16">
        <f t="shared" ca="1" si="104"/>
        <v>2</v>
      </c>
      <c r="FW15" s="16">
        <f t="shared" ca="1" si="104"/>
        <v>2</v>
      </c>
      <c r="FX15" s="18">
        <f t="shared" ca="1" si="104"/>
        <v>2</v>
      </c>
      <c r="FY15" s="19">
        <f t="shared" ca="1" si="105"/>
        <v>0</v>
      </c>
      <c r="FZ15" s="16">
        <f t="shared" ca="1" si="105"/>
        <v>0</v>
      </c>
      <c r="GA15" s="16">
        <f t="shared" ca="1" si="105"/>
        <v>0</v>
      </c>
      <c r="GB15" s="16">
        <f t="shared" ca="1" si="105"/>
        <v>0</v>
      </c>
      <c r="GC15" s="16">
        <f t="shared" ca="1" si="105"/>
        <v>0</v>
      </c>
      <c r="GD15" s="16">
        <f t="shared" ca="1" si="105"/>
        <v>0</v>
      </c>
      <c r="GE15" s="16">
        <f t="shared" ca="1" si="105"/>
        <v>0</v>
      </c>
      <c r="GF15" s="16">
        <f t="shared" ref="GF15:GJ17" ca="1" si="137">$I$4</f>
        <v>0</v>
      </c>
      <c r="GG15" s="16">
        <f t="shared" ca="1" si="137"/>
        <v>0</v>
      </c>
      <c r="GH15" s="16">
        <f t="shared" ca="1" si="137"/>
        <v>0</v>
      </c>
      <c r="GI15" s="16">
        <f t="shared" ca="1" si="137"/>
        <v>0</v>
      </c>
      <c r="GJ15" s="18">
        <f t="shared" ca="1" si="137"/>
        <v>0</v>
      </c>
      <c r="GK15" s="19">
        <f t="shared" ref="GK15:GL22" ca="1" si="138">$I$6</f>
        <v>0</v>
      </c>
      <c r="GL15" s="16">
        <f t="shared" ca="1" si="138"/>
        <v>0</v>
      </c>
      <c r="GM15" s="16">
        <f t="shared" ca="1" si="107"/>
        <v>0</v>
      </c>
      <c r="GN15" s="16">
        <f t="shared" ca="1" si="107"/>
        <v>0</v>
      </c>
      <c r="GO15" s="16">
        <f t="shared" ca="1" si="107"/>
        <v>0</v>
      </c>
      <c r="GP15" s="16">
        <f t="shared" ca="1" si="107"/>
        <v>0</v>
      </c>
      <c r="GQ15" s="16">
        <f t="shared" ca="1" si="107"/>
        <v>0</v>
      </c>
      <c r="GR15" s="16">
        <f t="shared" ca="1" si="107"/>
        <v>0</v>
      </c>
      <c r="GS15" s="16">
        <f t="shared" ca="1" si="107"/>
        <v>0</v>
      </c>
      <c r="GT15" s="16">
        <f t="shared" ref="GT15:GV22" ca="1" si="139">$I$6</f>
        <v>0</v>
      </c>
      <c r="GU15" s="16">
        <f t="shared" ca="1" si="139"/>
        <v>0</v>
      </c>
      <c r="GV15" s="18">
        <f t="shared" ca="1" si="139"/>
        <v>0</v>
      </c>
      <c r="GW15" s="19">
        <f t="shared" ref="GW15:GZ22" ca="1" si="140">$I$8</f>
        <v>0</v>
      </c>
      <c r="GX15" s="16">
        <f t="shared" ca="1" si="140"/>
        <v>0</v>
      </c>
      <c r="GY15" s="16">
        <f t="shared" ca="1" si="140"/>
        <v>0</v>
      </c>
      <c r="GZ15" s="16">
        <f t="shared" ca="1" si="140"/>
        <v>0</v>
      </c>
      <c r="HA15" s="16">
        <f t="shared" ca="1" si="109"/>
        <v>0</v>
      </c>
      <c r="HB15" s="16">
        <f t="shared" ca="1" si="109"/>
        <v>0</v>
      </c>
      <c r="HC15" s="16">
        <f t="shared" ca="1" si="109"/>
        <v>0</v>
      </c>
      <c r="HD15" s="16">
        <f t="shared" ca="1" si="109"/>
        <v>0</v>
      </c>
      <c r="HE15" s="16">
        <f t="shared" ca="1" si="109"/>
        <v>0</v>
      </c>
      <c r="HF15" s="16">
        <f t="shared" ca="1" si="109"/>
        <v>0</v>
      </c>
      <c r="HG15" s="16">
        <f t="shared" ca="1" si="109"/>
        <v>0</v>
      </c>
      <c r="HH15" s="18">
        <f t="shared" ca="1" si="109"/>
        <v>0</v>
      </c>
      <c r="HI15" s="19">
        <f t="shared" ca="1" si="110"/>
        <v>2</v>
      </c>
      <c r="HJ15" s="16">
        <f t="shared" ca="1" si="110"/>
        <v>2</v>
      </c>
      <c r="HK15" s="16">
        <f t="shared" ca="1" si="110"/>
        <v>2</v>
      </c>
      <c r="HL15" s="16">
        <f t="shared" ca="1" si="110"/>
        <v>2</v>
      </c>
      <c r="HM15" s="16">
        <f t="shared" ca="1" si="110"/>
        <v>2</v>
      </c>
      <c r="HN15" s="16">
        <f t="shared" ca="1" si="110"/>
        <v>2</v>
      </c>
      <c r="HO15" s="16">
        <f t="shared" ref="HO15:HT17" ca="1" si="141">$I$9</f>
        <v>2</v>
      </c>
      <c r="HP15" s="16">
        <f t="shared" ca="1" si="141"/>
        <v>2</v>
      </c>
      <c r="HQ15" s="16">
        <f t="shared" ca="1" si="141"/>
        <v>2</v>
      </c>
      <c r="HR15" s="16">
        <f t="shared" ca="1" si="141"/>
        <v>2</v>
      </c>
      <c r="HS15" s="16">
        <f t="shared" ca="1" si="141"/>
        <v>2</v>
      </c>
      <c r="HT15" s="18">
        <f t="shared" ca="1" si="141"/>
        <v>2</v>
      </c>
      <c r="HU15" s="19">
        <f t="shared" ref="HU15:HU22" ca="1" si="142">$I$11</f>
        <v>0</v>
      </c>
      <c r="HV15" s="16">
        <f t="shared" ca="1" si="112"/>
        <v>0</v>
      </c>
      <c r="HW15" s="16">
        <f t="shared" ca="1" si="112"/>
        <v>0</v>
      </c>
      <c r="HX15" s="16">
        <f t="shared" ca="1" si="112"/>
        <v>0</v>
      </c>
      <c r="HY15" s="16">
        <f t="shared" ca="1" si="112"/>
        <v>0</v>
      </c>
      <c r="HZ15" s="16">
        <f t="shared" ca="1" si="112"/>
        <v>0</v>
      </c>
      <c r="IA15" s="16">
        <f t="shared" ca="1" si="112"/>
        <v>0</v>
      </c>
      <c r="IB15" s="16">
        <f t="shared" ca="1" si="112"/>
        <v>0</v>
      </c>
      <c r="IC15" s="16">
        <f t="shared" ref="IC15:IF22" ca="1" si="143">$I$11</f>
        <v>0</v>
      </c>
      <c r="ID15" s="16">
        <f t="shared" ca="1" si="143"/>
        <v>0</v>
      </c>
      <c r="IE15" s="16">
        <f t="shared" ca="1" si="143"/>
        <v>0</v>
      </c>
      <c r="IF15" s="18">
        <f t="shared" ca="1" si="143"/>
        <v>0</v>
      </c>
      <c r="IG15" s="19">
        <f t="shared" ref="IG15:II22" ca="1" si="144">$I$13</f>
        <v>0</v>
      </c>
      <c r="IH15" s="16">
        <f t="shared" ca="1" si="144"/>
        <v>0</v>
      </c>
      <c r="II15" s="16">
        <f t="shared" ca="1" si="144"/>
        <v>0</v>
      </c>
      <c r="IJ15" s="16">
        <f t="shared" ca="1" si="114"/>
        <v>0</v>
      </c>
      <c r="IK15" s="16">
        <f t="shared" ca="1" si="114"/>
        <v>0</v>
      </c>
      <c r="IL15" s="16">
        <f t="shared" ca="1" si="114"/>
        <v>0</v>
      </c>
      <c r="IM15" s="16">
        <f t="shared" ca="1" si="114"/>
        <v>0</v>
      </c>
      <c r="IN15" s="16">
        <f t="shared" ca="1" si="114"/>
        <v>0</v>
      </c>
      <c r="IO15" s="16">
        <f t="shared" ca="1" si="114"/>
        <v>0</v>
      </c>
      <c r="IP15" s="16">
        <f t="shared" ca="1" si="114"/>
        <v>0</v>
      </c>
      <c r="IQ15" s="16">
        <f t="shared" ref="IQ15:IR22" ca="1" si="145">$I$13</f>
        <v>0</v>
      </c>
      <c r="IR15" s="18">
        <f t="shared" ca="1" si="145"/>
        <v>0</v>
      </c>
      <c r="IS15" s="19">
        <f t="shared" ref="IS15:IW17" ca="1" si="146">$I$15</f>
        <v>2</v>
      </c>
      <c r="IT15" s="16">
        <f t="shared" ca="1" si="146"/>
        <v>2</v>
      </c>
      <c r="IU15" s="16">
        <f t="shared" ca="1" si="146"/>
        <v>2</v>
      </c>
      <c r="IV15" s="16">
        <f t="shared" ca="1" si="146"/>
        <v>2</v>
      </c>
      <c r="IW15" s="16">
        <f t="shared" ca="1" si="146"/>
        <v>2</v>
      </c>
      <c r="IX15" s="16">
        <f t="shared" ca="1" si="116"/>
        <v>2</v>
      </c>
      <c r="IY15" s="16">
        <f t="shared" ca="1" si="116"/>
        <v>2</v>
      </c>
      <c r="IZ15" s="16">
        <f t="shared" ca="1" si="116"/>
        <v>2</v>
      </c>
      <c r="JA15" s="16">
        <f t="shared" ca="1" si="116"/>
        <v>2</v>
      </c>
      <c r="JB15" s="16">
        <f t="shared" ca="1" si="116"/>
        <v>2</v>
      </c>
      <c r="JC15" s="16">
        <f t="shared" ca="1" si="116"/>
        <v>2</v>
      </c>
      <c r="JD15" s="18">
        <f t="shared" ca="1" si="116"/>
        <v>2</v>
      </c>
    </row>
    <row r="16" spans="1:264" x14ac:dyDescent="0.4">
      <c r="A16" s="2"/>
      <c r="B16" s="2"/>
      <c r="C16" s="2"/>
      <c r="D16" s="2"/>
      <c r="E16" s="2"/>
      <c r="F16" s="2"/>
      <c r="G16" s="2"/>
      <c r="H16" s="2"/>
      <c r="I16" s="2"/>
      <c r="J16" s="2"/>
      <c r="M16" s="19">
        <f t="shared" ca="1" si="81"/>
        <v>0</v>
      </c>
      <c r="N16" s="16">
        <f t="shared" ca="1" si="81"/>
        <v>0</v>
      </c>
      <c r="O16" s="16">
        <f t="shared" ca="1" si="81"/>
        <v>0</v>
      </c>
      <c r="P16" s="16">
        <f t="shared" ca="1" si="81"/>
        <v>0</v>
      </c>
      <c r="Q16" s="16">
        <f t="shared" ca="1" si="81"/>
        <v>0</v>
      </c>
      <c r="R16" s="16">
        <f t="shared" ca="1" si="81"/>
        <v>0</v>
      </c>
      <c r="S16" s="16">
        <f t="shared" ca="1" si="81"/>
        <v>0</v>
      </c>
      <c r="T16" s="16">
        <f t="shared" ca="1" si="117"/>
        <v>0</v>
      </c>
      <c r="U16" s="16">
        <f t="shared" ca="1" si="117"/>
        <v>0</v>
      </c>
      <c r="V16" s="16">
        <f t="shared" ca="1" si="117"/>
        <v>0</v>
      </c>
      <c r="W16" s="16">
        <f t="shared" ca="1" si="117"/>
        <v>0</v>
      </c>
      <c r="X16" s="18">
        <f t="shared" ca="1" si="117"/>
        <v>0</v>
      </c>
      <c r="Y16" s="19">
        <f t="shared" ca="1" si="118"/>
        <v>0</v>
      </c>
      <c r="Z16" s="16">
        <f t="shared" ca="1" si="118"/>
        <v>0</v>
      </c>
      <c r="AA16" s="16">
        <f t="shared" ca="1" si="83"/>
        <v>0</v>
      </c>
      <c r="AB16" s="16">
        <f t="shared" ca="1" si="83"/>
        <v>0</v>
      </c>
      <c r="AC16" s="16">
        <f t="shared" ca="1" si="83"/>
        <v>0</v>
      </c>
      <c r="AD16" s="16">
        <f t="shared" ca="1" si="83"/>
        <v>0</v>
      </c>
      <c r="AE16" s="16">
        <f t="shared" ca="1" si="83"/>
        <v>0</v>
      </c>
      <c r="AF16" s="16">
        <f t="shared" ca="1" si="83"/>
        <v>0</v>
      </c>
      <c r="AG16" s="16">
        <f t="shared" ca="1" si="83"/>
        <v>0</v>
      </c>
      <c r="AH16" s="16">
        <f t="shared" ca="1" si="119"/>
        <v>0</v>
      </c>
      <c r="AI16" s="16">
        <f t="shared" ca="1" si="119"/>
        <v>0</v>
      </c>
      <c r="AJ16" s="18">
        <f t="shared" ca="1" si="119"/>
        <v>0</v>
      </c>
      <c r="AK16" s="19">
        <f t="shared" ca="1" si="120"/>
        <v>0</v>
      </c>
      <c r="AL16" s="16">
        <f t="shared" ca="1" si="120"/>
        <v>0</v>
      </c>
      <c r="AM16" s="16">
        <f t="shared" ca="1" si="120"/>
        <v>0</v>
      </c>
      <c r="AN16" s="16">
        <f t="shared" ca="1" si="120"/>
        <v>0</v>
      </c>
      <c r="AO16" s="16">
        <f t="shared" ca="1" si="85"/>
        <v>0</v>
      </c>
      <c r="AP16" s="16">
        <f t="shared" ca="1" si="85"/>
        <v>0</v>
      </c>
      <c r="AQ16" s="16">
        <f t="shared" ca="1" si="85"/>
        <v>0</v>
      </c>
      <c r="AR16" s="16">
        <f t="shared" ca="1" si="85"/>
        <v>0</v>
      </c>
      <c r="AS16" s="16">
        <f t="shared" ca="1" si="85"/>
        <v>0</v>
      </c>
      <c r="AT16" s="16">
        <f t="shared" ca="1" si="85"/>
        <v>0</v>
      </c>
      <c r="AU16" s="16">
        <f t="shared" ca="1" si="85"/>
        <v>0</v>
      </c>
      <c r="AV16" s="18">
        <f t="shared" ca="1" si="85"/>
        <v>0</v>
      </c>
      <c r="AW16" s="19">
        <f t="shared" ca="1" si="86"/>
        <v>2</v>
      </c>
      <c r="AX16" s="16">
        <f t="shared" ca="1" si="86"/>
        <v>2</v>
      </c>
      <c r="AY16" s="16">
        <f t="shared" ca="1" si="86"/>
        <v>2</v>
      </c>
      <c r="AZ16" s="16">
        <f t="shared" ca="1" si="86"/>
        <v>2</v>
      </c>
      <c r="BA16" s="16">
        <f t="shared" ca="1" si="86"/>
        <v>2</v>
      </c>
      <c r="BB16" s="16">
        <f t="shared" ca="1" si="86"/>
        <v>2</v>
      </c>
      <c r="BC16" s="16">
        <f t="shared" ca="1" si="121"/>
        <v>2</v>
      </c>
      <c r="BD16" s="16">
        <f t="shared" ca="1" si="121"/>
        <v>2</v>
      </c>
      <c r="BE16" s="16">
        <f t="shared" ca="1" si="121"/>
        <v>2</v>
      </c>
      <c r="BF16" s="16">
        <f t="shared" ca="1" si="121"/>
        <v>2</v>
      </c>
      <c r="BG16" s="16">
        <f t="shared" ca="1" si="121"/>
        <v>2</v>
      </c>
      <c r="BH16" s="18">
        <f t="shared" ca="1" si="121"/>
        <v>2</v>
      </c>
      <c r="BI16" s="19">
        <f t="shared" ca="1" si="122"/>
        <v>0</v>
      </c>
      <c r="BJ16" s="16">
        <f t="shared" ca="1" si="88"/>
        <v>0</v>
      </c>
      <c r="BK16" s="16">
        <f t="shared" ca="1" si="88"/>
        <v>0</v>
      </c>
      <c r="BL16" s="16">
        <f t="shared" ca="1" si="88"/>
        <v>0</v>
      </c>
      <c r="BM16" s="16">
        <f t="shared" ca="1" si="88"/>
        <v>0</v>
      </c>
      <c r="BN16" s="16">
        <f t="shared" ca="1" si="88"/>
        <v>0</v>
      </c>
      <c r="BO16" s="16">
        <f t="shared" ca="1" si="88"/>
        <v>0</v>
      </c>
      <c r="BP16" s="16">
        <f t="shared" ca="1" si="88"/>
        <v>0</v>
      </c>
      <c r="BQ16" s="16">
        <f t="shared" ca="1" si="123"/>
        <v>0</v>
      </c>
      <c r="BR16" s="16">
        <f t="shared" ca="1" si="123"/>
        <v>0</v>
      </c>
      <c r="BS16" s="16">
        <f t="shared" ca="1" si="123"/>
        <v>0</v>
      </c>
      <c r="BT16" s="18">
        <f t="shared" ca="1" si="123"/>
        <v>0</v>
      </c>
      <c r="BU16" s="19">
        <f t="shared" ca="1" si="124"/>
        <v>0</v>
      </c>
      <c r="BV16" s="16">
        <f t="shared" ca="1" si="124"/>
        <v>0</v>
      </c>
      <c r="BW16" s="16">
        <f t="shared" ca="1" si="124"/>
        <v>0</v>
      </c>
      <c r="BX16" s="16">
        <f t="shared" ca="1" si="90"/>
        <v>0</v>
      </c>
      <c r="BY16" s="16">
        <f t="shared" ca="1" si="90"/>
        <v>0</v>
      </c>
      <c r="BZ16" s="16">
        <f t="shared" ca="1" si="90"/>
        <v>0</v>
      </c>
      <c r="CA16" s="16">
        <f t="shared" ca="1" si="90"/>
        <v>0</v>
      </c>
      <c r="CB16" s="16">
        <f t="shared" ca="1" si="90"/>
        <v>0</v>
      </c>
      <c r="CC16" s="16">
        <f t="shared" ca="1" si="90"/>
        <v>0</v>
      </c>
      <c r="CD16" s="16">
        <f t="shared" ca="1" si="90"/>
        <v>0</v>
      </c>
      <c r="CE16" s="16">
        <f t="shared" ca="1" si="125"/>
        <v>0</v>
      </c>
      <c r="CF16" s="18">
        <f t="shared" ca="1" si="125"/>
        <v>0</v>
      </c>
      <c r="CG16" s="19">
        <f t="shared" ca="1" si="126"/>
        <v>2</v>
      </c>
      <c r="CH16" s="16">
        <f t="shared" ca="1" si="126"/>
        <v>2</v>
      </c>
      <c r="CI16" s="16">
        <f t="shared" ca="1" si="126"/>
        <v>2</v>
      </c>
      <c r="CJ16" s="16">
        <f t="shared" ca="1" si="126"/>
        <v>2</v>
      </c>
      <c r="CK16" s="16">
        <f t="shared" ca="1" si="126"/>
        <v>2</v>
      </c>
      <c r="CL16" s="16">
        <f t="shared" ca="1" si="92"/>
        <v>2</v>
      </c>
      <c r="CM16" s="16">
        <f t="shared" ca="1" si="92"/>
        <v>2</v>
      </c>
      <c r="CN16" s="16">
        <f t="shared" ca="1" si="92"/>
        <v>2</v>
      </c>
      <c r="CO16" s="16">
        <f t="shared" ca="1" si="92"/>
        <v>2</v>
      </c>
      <c r="CP16" s="16">
        <f t="shared" ca="1" si="92"/>
        <v>2</v>
      </c>
      <c r="CQ16" s="16">
        <f t="shared" ca="1" si="92"/>
        <v>2</v>
      </c>
      <c r="CR16" s="18">
        <f t="shared" ca="1" si="92"/>
        <v>2</v>
      </c>
      <c r="CS16" s="19">
        <f t="shared" ca="1" si="93"/>
        <v>0</v>
      </c>
      <c r="CT16" s="16">
        <f t="shared" ca="1" si="93"/>
        <v>0</v>
      </c>
      <c r="CU16" s="16">
        <f t="shared" ca="1" si="93"/>
        <v>0</v>
      </c>
      <c r="CV16" s="16">
        <f t="shared" ca="1" si="93"/>
        <v>0</v>
      </c>
      <c r="CW16" s="16">
        <f t="shared" ca="1" si="93"/>
        <v>0</v>
      </c>
      <c r="CX16" s="16">
        <f t="shared" ca="1" si="93"/>
        <v>0</v>
      </c>
      <c r="CY16" s="16">
        <f t="shared" ca="1" si="93"/>
        <v>0</v>
      </c>
      <c r="CZ16" s="16">
        <f t="shared" ca="1" si="127"/>
        <v>0</v>
      </c>
      <c r="DA16" s="16">
        <f t="shared" ca="1" si="127"/>
        <v>0</v>
      </c>
      <c r="DB16" s="16">
        <f t="shared" ca="1" si="127"/>
        <v>0</v>
      </c>
      <c r="DC16" s="16">
        <f t="shared" ca="1" si="127"/>
        <v>0</v>
      </c>
      <c r="DD16" s="18">
        <f t="shared" ca="1" si="127"/>
        <v>0</v>
      </c>
      <c r="DE16" s="19">
        <f t="shared" ca="1" si="128"/>
        <v>0</v>
      </c>
      <c r="DF16" s="16">
        <f t="shared" ca="1" si="128"/>
        <v>0</v>
      </c>
      <c r="DG16" s="16">
        <f t="shared" ca="1" si="95"/>
        <v>0</v>
      </c>
      <c r="DH16" s="16">
        <f t="shared" ca="1" si="95"/>
        <v>0</v>
      </c>
      <c r="DI16" s="16">
        <f t="shared" ca="1" si="95"/>
        <v>0</v>
      </c>
      <c r="DJ16" s="16">
        <f t="shared" ca="1" si="95"/>
        <v>0</v>
      </c>
      <c r="DK16" s="16">
        <f t="shared" ca="1" si="95"/>
        <v>0</v>
      </c>
      <c r="DL16" s="16">
        <f t="shared" ca="1" si="95"/>
        <v>0</v>
      </c>
      <c r="DM16" s="16">
        <f t="shared" ca="1" si="95"/>
        <v>0</v>
      </c>
      <c r="DN16" s="16">
        <f t="shared" ca="1" si="129"/>
        <v>0</v>
      </c>
      <c r="DO16" s="16">
        <f t="shared" ca="1" si="129"/>
        <v>0</v>
      </c>
      <c r="DP16" s="18">
        <f t="shared" ca="1" si="129"/>
        <v>0</v>
      </c>
      <c r="DQ16" s="19">
        <f t="shared" ca="1" si="130"/>
        <v>0</v>
      </c>
      <c r="DR16" s="16">
        <f t="shared" ca="1" si="130"/>
        <v>0</v>
      </c>
      <c r="DS16" s="16">
        <f t="shared" ca="1" si="130"/>
        <v>0</v>
      </c>
      <c r="DT16" s="16">
        <f t="shared" ca="1" si="130"/>
        <v>0</v>
      </c>
      <c r="DU16" s="16">
        <f t="shared" ca="1" si="97"/>
        <v>0</v>
      </c>
      <c r="DV16" s="16">
        <f t="shared" ca="1" si="97"/>
        <v>0</v>
      </c>
      <c r="DW16" s="16">
        <f t="shared" ca="1" si="97"/>
        <v>0</v>
      </c>
      <c r="DX16" s="16">
        <f t="shared" ca="1" si="97"/>
        <v>0</v>
      </c>
      <c r="DY16" s="16">
        <f t="shared" ca="1" si="97"/>
        <v>0</v>
      </c>
      <c r="DZ16" s="16">
        <f t="shared" ca="1" si="97"/>
        <v>0</v>
      </c>
      <c r="EA16" s="16">
        <f t="shared" ca="1" si="97"/>
        <v>0</v>
      </c>
      <c r="EB16" s="18">
        <f t="shared" ca="1" si="97"/>
        <v>0</v>
      </c>
      <c r="EC16" s="19">
        <f t="shared" ca="1" si="98"/>
        <v>2</v>
      </c>
      <c r="ED16" s="16">
        <f t="shared" ca="1" si="98"/>
        <v>2</v>
      </c>
      <c r="EE16" s="16">
        <f t="shared" ca="1" si="98"/>
        <v>2</v>
      </c>
      <c r="EF16" s="16">
        <f t="shared" ca="1" si="98"/>
        <v>2</v>
      </c>
      <c r="EG16" s="16">
        <f t="shared" ca="1" si="98"/>
        <v>2</v>
      </c>
      <c r="EH16" s="16">
        <f t="shared" ca="1" si="98"/>
        <v>2</v>
      </c>
      <c r="EI16" s="16">
        <f t="shared" ca="1" si="131"/>
        <v>2</v>
      </c>
      <c r="EJ16" s="16">
        <f t="shared" ca="1" si="131"/>
        <v>2</v>
      </c>
      <c r="EK16" s="16">
        <f t="shared" ca="1" si="131"/>
        <v>2</v>
      </c>
      <c r="EL16" s="16">
        <f t="shared" ca="1" si="131"/>
        <v>2</v>
      </c>
      <c r="EM16" s="16">
        <f t="shared" ca="1" si="131"/>
        <v>2</v>
      </c>
      <c r="EN16" s="18">
        <f t="shared" ca="1" si="131"/>
        <v>2</v>
      </c>
      <c r="EO16" s="19">
        <f t="shared" ca="1" si="132"/>
        <v>0</v>
      </c>
      <c r="EP16" s="16">
        <f t="shared" ca="1" si="100"/>
        <v>0</v>
      </c>
      <c r="EQ16" s="16">
        <f t="shared" ca="1" si="100"/>
        <v>0</v>
      </c>
      <c r="ER16" s="16">
        <f t="shared" ca="1" si="100"/>
        <v>0</v>
      </c>
      <c r="ES16" s="16">
        <f t="shared" ca="1" si="100"/>
        <v>0</v>
      </c>
      <c r="ET16" s="16">
        <f t="shared" ca="1" si="100"/>
        <v>0</v>
      </c>
      <c r="EU16" s="16">
        <f t="shared" ca="1" si="100"/>
        <v>0</v>
      </c>
      <c r="EV16" s="16">
        <f t="shared" ca="1" si="100"/>
        <v>0</v>
      </c>
      <c r="EW16" s="16">
        <f t="shared" ca="1" si="133"/>
        <v>0</v>
      </c>
      <c r="EX16" s="16">
        <f t="shared" ca="1" si="133"/>
        <v>0</v>
      </c>
      <c r="EY16" s="16">
        <f t="shared" ca="1" si="133"/>
        <v>0</v>
      </c>
      <c r="EZ16" s="18">
        <f t="shared" ca="1" si="133"/>
        <v>0</v>
      </c>
      <c r="FA16" s="19">
        <f t="shared" ca="1" si="134"/>
        <v>0</v>
      </c>
      <c r="FB16" s="16">
        <f t="shared" ca="1" si="134"/>
        <v>0</v>
      </c>
      <c r="FC16" s="16">
        <f t="shared" ca="1" si="134"/>
        <v>0</v>
      </c>
      <c r="FD16" s="16">
        <f t="shared" ca="1" si="102"/>
        <v>0</v>
      </c>
      <c r="FE16" s="16">
        <f t="shared" ca="1" si="102"/>
        <v>0</v>
      </c>
      <c r="FF16" s="16">
        <f t="shared" ca="1" si="102"/>
        <v>0</v>
      </c>
      <c r="FG16" s="16">
        <f t="shared" ca="1" si="102"/>
        <v>0</v>
      </c>
      <c r="FH16" s="16">
        <f t="shared" ca="1" si="102"/>
        <v>0</v>
      </c>
      <c r="FI16" s="16">
        <f t="shared" ca="1" si="102"/>
        <v>0</v>
      </c>
      <c r="FJ16" s="16">
        <f t="shared" ca="1" si="102"/>
        <v>0</v>
      </c>
      <c r="FK16" s="16">
        <f t="shared" ca="1" si="135"/>
        <v>0</v>
      </c>
      <c r="FL16" s="18">
        <f t="shared" ca="1" si="135"/>
        <v>0</v>
      </c>
      <c r="FM16" s="19">
        <f t="shared" ca="1" si="136"/>
        <v>2</v>
      </c>
      <c r="FN16" s="16">
        <f t="shared" ca="1" si="136"/>
        <v>2</v>
      </c>
      <c r="FO16" s="16">
        <f t="shared" ca="1" si="136"/>
        <v>2</v>
      </c>
      <c r="FP16" s="16">
        <f t="shared" ca="1" si="136"/>
        <v>2</v>
      </c>
      <c r="FQ16" s="16">
        <f t="shared" ca="1" si="136"/>
        <v>2</v>
      </c>
      <c r="FR16" s="16">
        <f t="shared" ca="1" si="104"/>
        <v>2</v>
      </c>
      <c r="FS16" s="16">
        <f t="shared" ca="1" si="104"/>
        <v>2</v>
      </c>
      <c r="FT16" s="16">
        <f t="shared" ca="1" si="104"/>
        <v>2</v>
      </c>
      <c r="FU16" s="16">
        <f t="shared" ca="1" si="104"/>
        <v>2</v>
      </c>
      <c r="FV16" s="16">
        <f t="shared" ca="1" si="104"/>
        <v>2</v>
      </c>
      <c r="FW16" s="16">
        <f t="shared" ca="1" si="104"/>
        <v>2</v>
      </c>
      <c r="FX16" s="18">
        <f t="shared" ca="1" si="104"/>
        <v>2</v>
      </c>
      <c r="FY16" s="19">
        <f t="shared" ca="1" si="105"/>
        <v>0</v>
      </c>
      <c r="FZ16" s="16">
        <f t="shared" ca="1" si="105"/>
        <v>0</v>
      </c>
      <c r="GA16" s="16">
        <f t="shared" ca="1" si="105"/>
        <v>0</v>
      </c>
      <c r="GB16" s="16">
        <f t="shared" ca="1" si="105"/>
        <v>0</v>
      </c>
      <c r="GC16" s="16">
        <f t="shared" ca="1" si="105"/>
        <v>0</v>
      </c>
      <c r="GD16" s="16">
        <f t="shared" ca="1" si="105"/>
        <v>0</v>
      </c>
      <c r="GE16" s="16">
        <f t="shared" ca="1" si="105"/>
        <v>0</v>
      </c>
      <c r="GF16" s="16">
        <f t="shared" ca="1" si="137"/>
        <v>0</v>
      </c>
      <c r="GG16" s="16">
        <f t="shared" ca="1" si="137"/>
        <v>0</v>
      </c>
      <c r="GH16" s="16">
        <f t="shared" ca="1" si="137"/>
        <v>0</v>
      </c>
      <c r="GI16" s="16">
        <f t="shared" ca="1" si="137"/>
        <v>0</v>
      </c>
      <c r="GJ16" s="18">
        <f t="shared" ca="1" si="137"/>
        <v>0</v>
      </c>
      <c r="GK16" s="19">
        <f t="shared" ca="1" si="138"/>
        <v>0</v>
      </c>
      <c r="GL16" s="16">
        <f t="shared" ca="1" si="138"/>
        <v>0</v>
      </c>
      <c r="GM16" s="16">
        <f t="shared" ca="1" si="107"/>
        <v>0</v>
      </c>
      <c r="GN16" s="16">
        <f t="shared" ca="1" si="107"/>
        <v>0</v>
      </c>
      <c r="GO16" s="16">
        <f t="shared" ca="1" si="107"/>
        <v>0</v>
      </c>
      <c r="GP16" s="16">
        <f t="shared" ca="1" si="107"/>
        <v>0</v>
      </c>
      <c r="GQ16" s="16">
        <f t="shared" ca="1" si="107"/>
        <v>0</v>
      </c>
      <c r="GR16" s="16">
        <f t="shared" ca="1" si="107"/>
        <v>0</v>
      </c>
      <c r="GS16" s="16">
        <f t="shared" ca="1" si="107"/>
        <v>0</v>
      </c>
      <c r="GT16" s="16">
        <f t="shared" ca="1" si="139"/>
        <v>0</v>
      </c>
      <c r="GU16" s="16">
        <f t="shared" ca="1" si="139"/>
        <v>0</v>
      </c>
      <c r="GV16" s="18">
        <f t="shared" ca="1" si="139"/>
        <v>0</v>
      </c>
      <c r="GW16" s="19">
        <f t="shared" ca="1" si="140"/>
        <v>0</v>
      </c>
      <c r="GX16" s="16">
        <f t="shared" ca="1" si="140"/>
        <v>0</v>
      </c>
      <c r="GY16" s="16">
        <f t="shared" ca="1" si="140"/>
        <v>0</v>
      </c>
      <c r="GZ16" s="16">
        <f t="shared" ca="1" si="140"/>
        <v>0</v>
      </c>
      <c r="HA16" s="16">
        <f t="shared" ca="1" si="109"/>
        <v>0</v>
      </c>
      <c r="HB16" s="16">
        <f t="shared" ca="1" si="109"/>
        <v>0</v>
      </c>
      <c r="HC16" s="16">
        <f t="shared" ca="1" si="109"/>
        <v>0</v>
      </c>
      <c r="HD16" s="16">
        <f t="shared" ca="1" si="109"/>
        <v>0</v>
      </c>
      <c r="HE16" s="16">
        <f t="shared" ca="1" si="109"/>
        <v>0</v>
      </c>
      <c r="HF16" s="16">
        <f t="shared" ca="1" si="109"/>
        <v>0</v>
      </c>
      <c r="HG16" s="16">
        <f t="shared" ca="1" si="109"/>
        <v>0</v>
      </c>
      <c r="HH16" s="18">
        <f t="shared" ca="1" si="109"/>
        <v>0</v>
      </c>
      <c r="HI16" s="19">
        <f t="shared" ca="1" si="110"/>
        <v>2</v>
      </c>
      <c r="HJ16" s="16">
        <f t="shared" ca="1" si="110"/>
        <v>2</v>
      </c>
      <c r="HK16" s="16">
        <f t="shared" ca="1" si="110"/>
        <v>2</v>
      </c>
      <c r="HL16" s="16">
        <f t="shared" ca="1" si="110"/>
        <v>2</v>
      </c>
      <c r="HM16" s="16">
        <f t="shared" ca="1" si="110"/>
        <v>2</v>
      </c>
      <c r="HN16" s="16">
        <f t="shared" ca="1" si="110"/>
        <v>2</v>
      </c>
      <c r="HO16" s="16">
        <f t="shared" ca="1" si="141"/>
        <v>2</v>
      </c>
      <c r="HP16" s="16">
        <f t="shared" ca="1" si="141"/>
        <v>2</v>
      </c>
      <c r="HQ16" s="16">
        <f t="shared" ca="1" si="141"/>
        <v>2</v>
      </c>
      <c r="HR16" s="16">
        <f t="shared" ca="1" si="141"/>
        <v>2</v>
      </c>
      <c r="HS16" s="16">
        <f t="shared" ca="1" si="141"/>
        <v>2</v>
      </c>
      <c r="HT16" s="18">
        <f t="shared" ca="1" si="141"/>
        <v>2</v>
      </c>
      <c r="HU16" s="19">
        <f t="shared" ca="1" si="142"/>
        <v>0</v>
      </c>
      <c r="HV16" s="16">
        <f t="shared" ca="1" si="112"/>
        <v>0</v>
      </c>
      <c r="HW16" s="16">
        <f t="shared" ca="1" si="112"/>
        <v>0</v>
      </c>
      <c r="HX16" s="16">
        <f t="shared" ca="1" si="112"/>
        <v>0</v>
      </c>
      <c r="HY16" s="16">
        <f t="shared" ca="1" si="112"/>
        <v>0</v>
      </c>
      <c r="HZ16" s="16">
        <f t="shared" ca="1" si="112"/>
        <v>0</v>
      </c>
      <c r="IA16" s="16">
        <f t="shared" ca="1" si="112"/>
        <v>0</v>
      </c>
      <c r="IB16" s="16">
        <f t="shared" ca="1" si="112"/>
        <v>0</v>
      </c>
      <c r="IC16" s="16">
        <f t="shared" ca="1" si="143"/>
        <v>0</v>
      </c>
      <c r="ID16" s="16">
        <f t="shared" ca="1" si="143"/>
        <v>0</v>
      </c>
      <c r="IE16" s="16">
        <f t="shared" ca="1" si="143"/>
        <v>0</v>
      </c>
      <c r="IF16" s="18">
        <f t="shared" ca="1" si="143"/>
        <v>0</v>
      </c>
      <c r="IG16" s="19">
        <f t="shared" ca="1" si="144"/>
        <v>0</v>
      </c>
      <c r="IH16" s="16">
        <f t="shared" ca="1" si="144"/>
        <v>0</v>
      </c>
      <c r="II16" s="16">
        <f t="shared" ca="1" si="144"/>
        <v>0</v>
      </c>
      <c r="IJ16" s="16">
        <f t="shared" ca="1" si="114"/>
        <v>0</v>
      </c>
      <c r="IK16" s="16">
        <f t="shared" ca="1" si="114"/>
        <v>0</v>
      </c>
      <c r="IL16" s="16">
        <f t="shared" ca="1" si="114"/>
        <v>0</v>
      </c>
      <c r="IM16" s="16">
        <f t="shared" ca="1" si="114"/>
        <v>0</v>
      </c>
      <c r="IN16" s="16">
        <f t="shared" ca="1" si="114"/>
        <v>0</v>
      </c>
      <c r="IO16" s="16">
        <f t="shared" ca="1" si="114"/>
        <v>0</v>
      </c>
      <c r="IP16" s="16">
        <f t="shared" ca="1" si="114"/>
        <v>0</v>
      </c>
      <c r="IQ16" s="16">
        <f t="shared" ca="1" si="145"/>
        <v>0</v>
      </c>
      <c r="IR16" s="18">
        <f t="shared" ca="1" si="145"/>
        <v>0</v>
      </c>
      <c r="IS16" s="19">
        <f t="shared" ca="1" si="146"/>
        <v>2</v>
      </c>
      <c r="IT16" s="16">
        <f t="shared" ca="1" si="146"/>
        <v>2</v>
      </c>
      <c r="IU16" s="16">
        <f t="shared" ca="1" si="146"/>
        <v>2</v>
      </c>
      <c r="IV16" s="16">
        <f t="shared" ca="1" si="146"/>
        <v>2</v>
      </c>
      <c r="IW16" s="16">
        <f t="shared" ca="1" si="146"/>
        <v>2</v>
      </c>
      <c r="IX16" s="16">
        <f t="shared" ca="1" si="116"/>
        <v>2</v>
      </c>
      <c r="IY16" s="16">
        <f t="shared" ca="1" si="116"/>
        <v>2</v>
      </c>
      <c r="IZ16" s="16">
        <f t="shared" ca="1" si="116"/>
        <v>2</v>
      </c>
      <c r="JA16" s="16">
        <f t="shared" ca="1" si="116"/>
        <v>2</v>
      </c>
      <c r="JB16" s="16">
        <f t="shared" ca="1" si="116"/>
        <v>2</v>
      </c>
      <c r="JC16" s="16">
        <f t="shared" ca="1" si="116"/>
        <v>2</v>
      </c>
      <c r="JD16" s="18">
        <f t="shared" ca="1" si="116"/>
        <v>2</v>
      </c>
    </row>
    <row r="17" spans="1:264" x14ac:dyDescent="0.4">
      <c r="A17" s="2"/>
      <c r="B17" s="2"/>
      <c r="C17" s="2"/>
      <c r="D17" s="2"/>
      <c r="E17" s="2"/>
      <c r="F17" s="2"/>
      <c r="G17" s="2"/>
      <c r="H17" s="2"/>
      <c r="I17" s="2"/>
      <c r="J17" s="2"/>
      <c r="M17" s="19">
        <f t="shared" ca="1" si="81"/>
        <v>0</v>
      </c>
      <c r="N17" s="16">
        <f t="shared" ca="1" si="81"/>
        <v>0</v>
      </c>
      <c r="O17" s="16">
        <f t="shared" ca="1" si="81"/>
        <v>0</v>
      </c>
      <c r="P17" s="16">
        <f t="shared" ca="1" si="81"/>
        <v>0</v>
      </c>
      <c r="Q17" s="16">
        <f t="shared" ca="1" si="81"/>
        <v>0</v>
      </c>
      <c r="R17" s="16">
        <f t="shared" ca="1" si="81"/>
        <v>0</v>
      </c>
      <c r="S17" s="16">
        <f t="shared" ca="1" si="81"/>
        <v>0</v>
      </c>
      <c r="T17" s="16">
        <f t="shared" ca="1" si="117"/>
        <v>0</v>
      </c>
      <c r="U17" s="16">
        <f t="shared" ca="1" si="117"/>
        <v>0</v>
      </c>
      <c r="V17" s="16">
        <f t="shared" ca="1" si="117"/>
        <v>0</v>
      </c>
      <c r="W17" s="16">
        <f t="shared" ca="1" si="117"/>
        <v>0</v>
      </c>
      <c r="X17" s="18">
        <f t="shared" ca="1" si="117"/>
        <v>0</v>
      </c>
      <c r="Y17" s="19">
        <f t="shared" ca="1" si="118"/>
        <v>0</v>
      </c>
      <c r="Z17" s="16">
        <f t="shared" ca="1" si="118"/>
        <v>0</v>
      </c>
      <c r="AA17" s="16">
        <f t="shared" ca="1" si="83"/>
        <v>0</v>
      </c>
      <c r="AB17" s="16">
        <f t="shared" ca="1" si="83"/>
        <v>0</v>
      </c>
      <c r="AC17" s="16">
        <f t="shared" ca="1" si="83"/>
        <v>0</v>
      </c>
      <c r="AD17" s="16">
        <f t="shared" ca="1" si="83"/>
        <v>0</v>
      </c>
      <c r="AE17" s="16">
        <f t="shared" ca="1" si="83"/>
        <v>0</v>
      </c>
      <c r="AF17" s="16">
        <f t="shared" ca="1" si="83"/>
        <v>0</v>
      </c>
      <c r="AG17" s="16">
        <f t="shared" ca="1" si="83"/>
        <v>0</v>
      </c>
      <c r="AH17" s="16">
        <f t="shared" ca="1" si="119"/>
        <v>0</v>
      </c>
      <c r="AI17" s="16">
        <f t="shared" ca="1" si="119"/>
        <v>0</v>
      </c>
      <c r="AJ17" s="18">
        <f t="shared" ca="1" si="119"/>
        <v>0</v>
      </c>
      <c r="AK17" s="19">
        <f t="shared" ca="1" si="120"/>
        <v>0</v>
      </c>
      <c r="AL17" s="16">
        <f t="shared" ca="1" si="120"/>
        <v>0</v>
      </c>
      <c r="AM17" s="16">
        <f t="shared" ca="1" si="120"/>
        <v>0</v>
      </c>
      <c r="AN17" s="16">
        <f t="shared" ca="1" si="120"/>
        <v>0</v>
      </c>
      <c r="AO17" s="16">
        <f t="shared" ca="1" si="85"/>
        <v>0</v>
      </c>
      <c r="AP17" s="16">
        <f t="shared" ca="1" si="85"/>
        <v>0</v>
      </c>
      <c r="AQ17" s="16">
        <f t="shared" ca="1" si="85"/>
        <v>0</v>
      </c>
      <c r="AR17" s="16">
        <f t="shared" ca="1" si="85"/>
        <v>0</v>
      </c>
      <c r="AS17" s="16">
        <f t="shared" ca="1" si="85"/>
        <v>0</v>
      </c>
      <c r="AT17" s="16">
        <f t="shared" ca="1" si="85"/>
        <v>0</v>
      </c>
      <c r="AU17" s="16">
        <f t="shared" ca="1" si="85"/>
        <v>0</v>
      </c>
      <c r="AV17" s="18">
        <f t="shared" ca="1" si="85"/>
        <v>0</v>
      </c>
      <c r="AW17" s="19">
        <f t="shared" ca="1" si="86"/>
        <v>2</v>
      </c>
      <c r="AX17" s="16">
        <f t="shared" ca="1" si="86"/>
        <v>2</v>
      </c>
      <c r="AY17" s="16">
        <f t="shared" ca="1" si="86"/>
        <v>2</v>
      </c>
      <c r="AZ17" s="16">
        <f t="shared" ca="1" si="86"/>
        <v>2</v>
      </c>
      <c r="BA17" s="16">
        <f t="shared" ca="1" si="86"/>
        <v>2</v>
      </c>
      <c r="BB17" s="16">
        <f t="shared" ca="1" si="86"/>
        <v>2</v>
      </c>
      <c r="BC17" s="16">
        <f t="shared" ca="1" si="121"/>
        <v>2</v>
      </c>
      <c r="BD17" s="16">
        <f t="shared" ca="1" si="121"/>
        <v>2</v>
      </c>
      <c r="BE17" s="16">
        <f t="shared" ca="1" si="121"/>
        <v>2</v>
      </c>
      <c r="BF17" s="16">
        <f t="shared" ca="1" si="121"/>
        <v>2</v>
      </c>
      <c r="BG17" s="16">
        <f t="shared" ca="1" si="121"/>
        <v>2</v>
      </c>
      <c r="BH17" s="18">
        <f t="shared" ca="1" si="121"/>
        <v>2</v>
      </c>
      <c r="BI17" s="19">
        <f t="shared" ca="1" si="122"/>
        <v>0</v>
      </c>
      <c r="BJ17" s="16">
        <f t="shared" ca="1" si="88"/>
        <v>0</v>
      </c>
      <c r="BK17" s="16">
        <f t="shared" ca="1" si="88"/>
        <v>0</v>
      </c>
      <c r="BL17" s="16">
        <f t="shared" ca="1" si="88"/>
        <v>0</v>
      </c>
      <c r="BM17" s="16">
        <f t="shared" ca="1" si="88"/>
        <v>0</v>
      </c>
      <c r="BN17" s="16">
        <f t="shared" ca="1" si="88"/>
        <v>0</v>
      </c>
      <c r="BO17" s="16">
        <f t="shared" ca="1" si="88"/>
        <v>0</v>
      </c>
      <c r="BP17" s="16">
        <f t="shared" ca="1" si="88"/>
        <v>0</v>
      </c>
      <c r="BQ17" s="16">
        <f t="shared" ca="1" si="123"/>
        <v>0</v>
      </c>
      <c r="BR17" s="16">
        <f t="shared" ca="1" si="123"/>
        <v>0</v>
      </c>
      <c r="BS17" s="16">
        <f t="shared" ca="1" si="123"/>
        <v>0</v>
      </c>
      <c r="BT17" s="18">
        <f t="shared" ca="1" si="123"/>
        <v>0</v>
      </c>
      <c r="BU17" s="19">
        <f t="shared" ca="1" si="124"/>
        <v>0</v>
      </c>
      <c r="BV17" s="16">
        <f t="shared" ca="1" si="124"/>
        <v>0</v>
      </c>
      <c r="BW17" s="16">
        <f t="shared" ca="1" si="124"/>
        <v>0</v>
      </c>
      <c r="BX17" s="16">
        <f t="shared" ca="1" si="90"/>
        <v>0</v>
      </c>
      <c r="BY17" s="16">
        <f t="shared" ca="1" si="90"/>
        <v>0</v>
      </c>
      <c r="BZ17" s="16">
        <f t="shared" ca="1" si="90"/>
        <v>0</v>
      </c>
      <c r="CA17" s="16">
        <f t="shared" ca="1" si="90"/>
        <v>0</v>
      </c>
      <c r="CB17" s="16">
        <f t="shared" ca="1" si="90"/>
        <v>0</v>
      </c>
      <c r="CC17" s="16">
        <f t="shared" ca="1" si="90"/>
        <v>0</v>
      </c>
      <c r="CD17" s="16">
        <f t="shared" ca="1" si="90"/>
        <v>0</v>
      </c>
      <c r="CE17" s="16">
        <f t="shared" ca="1" si="125"/>
        <v>0</v>
      </c>
      <c r="CF17" s="18">
        <f t="shared" ca="1" si="125"/>
        <v>0</v>
      </c>
      <c r="CG17" s="19">
        <f t="shared" ca="1" si="126"/>
        <v>2</v>
      </c>
      <c r="CH17" s="16">
        <f t="shared" ca="1" si="126"/>
        <v>2</v>
      </c>
      <c r="CI17" s="16">
        <f t="shared" ca="1" si="126"/>
        <v>2</v>
      </c>
      <c r="CJ17" s="16">
        <f t="shared" ca="1" si="126"/>
        <v>2</v>
      </c>
      <c r="CK17" s="16">
        <f t="shared" ca="1" si="126"/>
        <v>2</v>
      </c>
      <c r="CL17" s="16">
        <f t="shared" ca="1" si="92"/>
        <v>2</v>
      </c>
      <c r="CM17" s="16">
        <f t="shared" ca="1" si="92"/>
        <v>2</v>
      </c>
      <c r="CN17" s="16">
        <f t="shared" ca="1" si="92"/>
        <v>2</v>
      </c>
      <c r="CO17" s="16">
        <f t="shared" ca="1" si="92"/>
        <v>2</v>
      </c>
      <c r="CP17" s="16">
        <f t="shared" ca="1" si="92"/>
        <v>2</v>
      </c>
      <c r="CQ17" s="16">
        <f t="shared" ca="1" si="92"/>
        <v>2</v>
      </c>
      <c r="CR17" s="18">
        <f t="shared" ca="1" si="92"/>
        <v>2</v>
      </c>
      <c r="CS17" s="19">
        <f t="shared" ca="1" si="93"/>
        <v>0</v>
      </c>
      <c r="CT17" s="16">
        <f t="shared" ca="1" si="93"/>
        <v>0</v>
      </c>
      <c r="CU17" s="16">
        <f t="shared" ca="1" si="93"/>
        <v>0</v>
      </c>
      <c r="CV17" s="16">
        <f t="shared" ca="1" si="93"/>
        <v>0</v>
      </c>
      <c r="CW17" s="16">
        <f t="shared" ca="1" si="93"/>
        <v>0</v>
      </c>
      <c r="CX17" s="16">
        <f t="shared" ca="1" si="93"/>
        <v>0</v>
      </c>
      <c r="CY17" s="16">
        <f t="shared" ca="1" si="93"/>
        <v>0</v>
      </c>
      <c r="CZ17" s="16">
        <f t="shared" ca="1" si="127"/>
        <v>0</v>
      </c>
      <c r="DA17" s="16">
        <f t="shared" ca="1" si="127"/>
        <v>0</v>
      </c>
      <c r="DB17" s="16">
        <f t="shared" ca="1" si="127"/>
        <v>0</v>
      </c>
      <c r="DC17" s="16">
        <f t="shared" ca="1" si="127"/>
        <v>0</v>
      </c>
      <c r="DD17" s="18">
        <f t="shared" ca="1" si="127"/>
        <v>0</v>
      </c>
      <c r="DE17" s="19">
        <f t="shared" ca="1" si="128"/>
        <v>0</v>
      </c>
      <c r="DF17" s="16">
        <f t="shared" ca="1" si="128"/>
        <v>0</v>
      </c>
      <c r="DG17" s="16">
        <f t="shared" ca="1" si="95"/>
        <v>0</v>
      </c>
      <c r="DH17" s="16">
        <f t="shared" ca="1" si="95"/>
        <v>0</v>
      </c>
      <c r="DI17" s="16">
        <f t="shared" ca="1" si="95"/>
        <v>0</v>
      </c>
      <c r="DJ17" s="16">
        <f t="shared" ca="1" si="95"/>
        <v>0</v>
      </c>
      <c r="DK17" s="16">
        <f t="shared" ca="1" si="95"/>
        <v>0</v>
      </c>
      <c r="DL17" s="16">
        <f t="shared" ca="1" si="95"/>
        <v>0</v>
      </c>
      <c r="DM17" s="16">
        <f t="shared" ca="1" si="95"/>
        <v>0</v>
      </c>
      <c r="DN17" s="16">
        <f t="shared" ca="1" si="129"/>
        <v>0</v>
      </c>
      <c r="DO17" s="16">
        <f t="shared" ca="1" si="129"/>
        <v>0</v>
      </c>
      <c r="DP17" s="18">
        <f t="shared" ca="1" si="129"/>
        <v>0</v>
      </c>
      <c r="DQ17" s="19">
        <f t="shared" ca="1" si="130"/>
        <v>0</v>
      </c>
      <c r="DR17" s="16">
        <f t="shared" ca="1" si="130"/>
        <v>0</v>
      </c>
      <c r="DS17" s="16">
        <f t="shared" ca="1" si="130"/>
        <v>0</v>
      </c>
      <c r="DT17" s="16">
        <f t="shared" ca="1" si="130"/>
        <v>0</v>
      </c>
      <c r="DU17" s="16">
        <f t="shared" ca="1" si="97"/>
        <v>0</v>
      </c>
      <c r="DV17" s="16">
        <f t="shared" ca="1" si="97"/>
        <v>0</v>
      </c>
      <c r="DW17" s="16">
        <f t="shared" ca="1" si="97"/>
        <v>0</v>
      </c>
      <c r="DX17" s="16">
        <f t="shared" ca="1" si="97"/>
        <v>0</v>
      </c>
      <c r="DY17" s="16">
        <f t="shared" ca="1" si="97"/>
        <v>0</v>
      </c>
      <c r="DZ17" s="16">
        <f t="shared" ca="1" si="97"/>
        <v>0</v>
      </c>
      <c r="EA17" s="16">
        <f t="shared" ca="1" si="97"/>
        <v>0</v>
      </c>
      <c r="EB17" s="18">
        <f t="shared" ca="1" si="97"/>
        <v>0</v>
      </c>
      <c r="EC17" s="19">
        <f t="shared" ca="1" si="98"/>
        <v>2</v>
      </c>
      <c r="ED17" s="16">
        <f t="shared" ca="1" si="98"/>
        <v>2</v>
      </c>
      <c r="EE17" s="16">
        <f t="shared" ca="1" si="98"/>
        <v>2</v>
      </c>
      <c r="EF17" s="16">
        <f t="shared" ca="1" si="98"/>
        <v>2</v>
      </c>
      <c r="EG17" s="16">
        <f t="shared" ca="1" si="98"/>
        <v>2</v>
      </c>
      <c r="EH17" s="16">
        <f t="shared" ca="1" si="98"/>
        <v>2</v>
      </c>
      <c r="EI17" s="16">
        <f t="shared" ca="1" si="131"/>
        <v>2</v>
      </c>
      <c r="EJ17" s="16">
        <f t="shared" ca="1" si="131"/>
        <v>2</v>
      </c>
      <c r="EK17" s="16">
        <f t="shared" ca="1" si="131"/>
        <v>2</v>
      </c>
      <c r="EL17" s="16">
        <f t="shared" ca="1" si="131"/>
        <v>2</v>
      </c>
      <c r="EM17" s="16">
        <f t="shared" ca="1" si="131"/>
        <v>2</v>
      </c>
      <c r="EN17" s="18">
        <f t="shared" ca="1" si="131"/>
        <v>2</v>
      </c>
      <c r="EO17" s="19">
        <f t="shared" ca="1" si="132"/>
        <v>0</v>
      </c>
      <c r="EP17" s="16">
        <f t="shared" ca="1" si="100"/>
        <v>0</v>
      </c>
      <c r="EQ17" s="16">
        <f t="shared" ca="1" si="100"/>
        <v>0</v>
      </c>
      <c r="ER17" s="16">
        <f t="shared" ca="1" si="100"/>
        <v>0</v>
      </c>
      <c r="ES17" s="16">
        <f t="shared" ca="1" si="100"/>
        <v>0</v>
      </c>
      <c r="ET17" s="16">
        <f t="shared" ca="1" si="100"/>
        <v>0</v>
      </c>
      <c r="EU17" s="16">
        <f t="shared" ca="1" si="100"/>
        <v>0</v>
      </c>
      <c r="EV17" s="16">
        <f t="shared" ca="1" si="100"/>
        <v>0</v>
      </c>
      <c r="EW17" s="16">
        <f t="shared" ca="1" si="133"/>
        <v>0</v>
      </c>
      <c r="EX17" s="16">
        <f t="shared" ca="1" si="133"/>
        <v>0</v>
      </c>
      <c r="EY17" s="16">
        <f t="shared" ca="1" si="133"/>
        <v>0</v>
      </c>
      <c r="EZ17" s="18">
        <f t="shared" ca="1" si="133"/>
        <v>0</v>
      </c>
      <c r="FA17" s="19">
        <f t="shared" ca="1" si="134"/>
        <v>0</v>
      </c>
      <c r="FB17" s="16">
        <f t="shared" ca="1" si="134"/>
        <v>0</v>
      </c>
      <c r="FC17" s="16">
        <f t="shared" ca="1" si="134"/>
        <v>0</v>
      </c>
      <c r="FD17" s="16">
        <f t="shared" ca="1" si="102"/>
        <v>0</v>
      </c>
      <c r="FE17" s="16">
        <f t="shared" ca="1" si="102"/>
        <v>0</v>
      </c>
      <c r="FF17" s="16">
        <f t="shared" ca="1" si="102"/>
        <v>0</v>
      </c>
      <c r="FG17" s="16">
        <f t="shared" ca="1" si="102"/>
        <v>0</v>
      </c>
      <c r="FH17" s="16">
        <f t="shared" ca="1" si="102"/>
        <v>0</v>
      </c>
      <c r="FI17" s="16">
        <f t="shared" ca="1" si="102"/>
        <v>0</v>
      </c>
      <c r="FJ17" s="16">
        <f t="shared" ca="1" si="102"/>
        <v>0</v>
      </c>
      <c r="FK17" s="16">
        <f t="shared" ca="1" si="135"/>
        <v>0</v>
      </c>
      <c r="FL17" s="18">
        <f t="shared" ca="1" si="135"/>
        <v>0</v>
      </c>
      <c r="FM17" s="19">
        <f t="shared" ca="1" si="136"/>
        <v>2</v>
      </c>
      <c r="FN17" s="16">
        <f t="shared" ca="1" si="136"/>
        <v>2</v>
      </c>
      <c r="FO17" s="16">
        <f t="shared" ca="1" si="136"/>
        <v>2</v>
      </c>
      <c r="FP17" s="16">
        <f t="shared" ca="1" si="136"/>
        <v>2</v>
      </c>
      <c r="FQ17" s="16">
        <f t="shared" ca="1" si="136"/>
        <v>2</v>
      </c>
      <c r="FR17" s="16">
        <f t="shared" ca="1" si="104"/>
        <v>2</v>
      </c>
      <c r="FS17" s="16">
        <f t="shared" ca="1" si="104"/>
        <v>2</v>
      </c>
      <c r="FT17" s="16">
        <f t="shared" ca="1" si="104"/>
        <v>2</v>
      </c>
      <c r="FU17" s="16">
        <f t="shared" ca="1" si="104"/>
        <v>2</v>
      </c>
      <c r="FV17" s="16">
        <f t="shared" ca="1" si="104"/>
        <v>2</v>
      </c>
      <c r="FW17" s="16">
        <f t="shared" ca="1" si="104"/>
        <v>2</v>
      </c>
      <c r="FX17" s="18">
        <f t="shared" ca="1" si="104"/>
        <v>2</v>
      </c>
      <c r="FY17" s="19">
        <f t="shared" ca="1" si="105"/>
        <v>0</v>
      </c>
      <c r="FZ17" s="16">
        <f t="shared" ca="1" si="105"/>
        <v>0</v>
      </c>
      <c r="GA17" s="16">
        <f t="shared" ca="1" si="105"/>
        <v>0</v>
      </c>
      <c r="GB17" s="16">
        <f t="shared" ca="1" si="105"/>
        <v>0</v>
      </c>
      <c r="GC17" s="16">
        <f t="shared" ca="1" si="105"/>
        <v>0</v>
      </c>
      <c r="GD17" s="16">
        <f t="shared" ca="1" si="105"/>
        <v>0</v>
      </c>
      <c r="GE17" s="16">
        <f t="shared" ca="1" si="105"/>
        <v>0</v>
      </c>
      <c r="GF17" s="16">
        <f t="shared" ca="1" si="137"/>
        <v>0</v>
      </c>
      <c r="GG17" s="16">
        <f t="shared" ca="1" si="137"/>
        <v>0</v>
      </c>
      <c r="GH17" s="16">
        <f t="shared" ca="1" si="137"/>
        <v>0</v>
      </c>
      <c r="GI17" s="16">
        <f t="shared" ca="1" si="137"/>
        <v>0</v>
      </c>
      <c r="GJ17" s="18">
        <f t="shared" ca="1" si="137"/>
        <v>0</v>
      </c>
      <c r="GK17" s="19">
        <f t="shared" ca="1" si="138"/>
        <v>0</v>
      </c>
      <c r="GL17" s="16">
        <f t="shared" ca="1" si="138"/>
        <v>0</v>
      </c>
      <c r="GM17" s="16">
        <f t="shared" ca="1" si="107"/>
        <v>0</v>
      </c>
      <c r="GN17" s="16">
        <f t="shared" ca="1" si="107"/>
        <v>0</v>
      </c>
      <c r="GO17" s="16">
        <f t="shared" ca="1" si="107"/>
        <v>0</v>
      </c>
      <c r="GP17" s="16">
        <f t="shared" ca="1" si="107"/>
        <v>0</v>
      </c>
      <c r="GQ17" s="16">
        <f t="shared" ca="1" si="107"/>
        <v>0</v>
      </c>
      <c r="GR17" s="16">
        <f t="shared" ca="1" si="107"/>
        <v>0</v>
      </c>
      <c r="GS17" s="16">
        <f t="shared" ca="1" si="107"/>
        <v>0</v>
      </c>
      <c r="GT17" s="16">
        <f t="shared" ca="1" si="139"/>
        <v>0</v>
      </c>
      <c r="GU17" s="16">
        <f t="shared" ca="1" si="139"/>
        <v>0</v>
      </c>
      <c r="GV17" s="18">
        <f t="shared" ca="1" si="139"/>
        <v>0</v>
      </c>
      <c r="GW17" s="19">
        <f t="shared" ca="1" si="140"/>
        <v>0</v>
      </c>
      <c r="GX17" s="16">
        <f t="shared" ca="1" si="140"/>
        <v>0</v>
      </c>
      <c r="GY17" s="16">
        <f t="shared" ca="1" si="140"/>
        <v>0</v>
      </c>
      <c r="GZ17" s="16">
        <f t="shared" ca="1" si="140"/>
        <v>0</v>
      </c>
      <c r="HA17" s="16">
        <f t="shared" ca="1" si="109"/>
        <v>0</v>
      </c>
      <c r="HB17" s="16">
        <f t="shared" ca="1" si="109"/>
        <v>0</v>
      </c>
      <c r="HC17" s="16">
        <f t="shared" ca="1" si="109"/>
        <v>0</v>
      </c>
      <c r="HD17" s="16">
        <f t="shared" ca="1" si="109"/>
        <v>0</v>
      </c>
      <c r="HE17" s="16">
        <f t="shared" ca="1" si="109"/>
        <v>0</v>
      </c>
      <c r="HF17" s="16">
        <f t="shared" ca="1" si="109"/>
        <v>0</v>
      </c>
      <c r="HG17" s="16">
        <f t="shared" ca="1" si="109"/>
        <v>0</v>
      </c>
      <c r="HH17" s="18">
        <f t="shared" ca="1" si="109"/>
        <v>0</v>
      </c>
      <c r="HI17" s="19">
        <f t="shared" ca="1" si="110"/>
        <v>2</v>
      </c>
      <c r="HJ17" s="16">
        <f t="shared" ca="1" si="110"/>
        <v>2</v>
      </c>
      <c r="HK17" s="16">
        <f t="shared" ca="1" si="110"/>
        <v>2</v>
      </c>
      <c r="HL17" s="16">
        <f t="shared" ca="1" si="110"/>
        <v>2</v>
      </c>
      <c r="HM17" s="16">
        <f t="shared" ca="1" si="110"/>
        <v>2</v>
      </c>
      <c r="HN17" s="16">
        <f t="shared" ca="1" si="110"/>
        <v>2</v>
      </c>
      <c r="HO17" s="16">
        <f t="shared" ca="1" si="141"/>
        <v>2</v>
      </c>
      <c r="HP17" s="16">
        <f t="shared" ca="1" si="141"/>
        <v>2</v>
      </c>
      <c r="HQ17" s="16">
        <f t="shared" ca="1" si="141"/>
        <v>2</v>
      </c>
      <c r="HR17" s="16">
        <f t="shared" ca="1" si="141"/>
        <v>2</v>
      </c>
      <c r="HS17" s="16">
        <f t="shared" ca="1" si="141"/>
        <v>2</v>
      </c>
      <c r="HT17" s="18">
        <f t="shared" ca="1" si="141"/>
        <v>2</v>
      </c>
      <c r="HU17" s="19">
        <f t="shared" ca="1" si="142"/>
        <v>0</v>
      </c>
      <c r="HV17" s="16">
        <f t="shared" ca="1" si="112"/>
        <v>0</v>
      </c>
      <c r="HW17" s="16">
        <f t="shared" ca="1" si="112"/>
        <v>0</v>
      </c>
      <c r="HX17" s="16">
        <f t="shared" ca="1" si="112"/>
        <v>0</v>
      </c>
      <c r="HY17" s="16">
        <f t="shared" ca="1" si="112"/>
        <v>0</v>
      </c>
      <c r="HZ17" s="16">
        <f t="shared" ca="1" si="112"/>
        <v>0</v>
      </c>
      <c r="IA17" s="16">
        <f t="shared" ca="1" si="112"/>
        <v>0</v>
      </c>
      <c r="IB17" s="16">
        <f t="shared" ca="1" si="112"/>
        <v>0</v>
      </c>
      <c r="IC17" s="16">
        <f t="shared" ca="1" si="143"/>
        <v>0</v>
      </c>
      <c r="ID17" s="16">
        <f t="shared" ca="1" si="143"/>
        <v>0</v>
      </c>
      <c r="IE17" s="16">
        <f t="shared" ca="1" si="143"/>
        <v>0</v>
      </c>
      <c r="IF17" s="18">
        <f t="shared" ca="1" si="143"/>
        <v>0</v>
      </c>
      <c r="IG17" s="19">
        <f t="shared" ca="1" si="144"/>
        <v>0</v>
      </c>
      <c r="IH17" s="16">
        <f t="shared" ca="1" si="144"/>
        <v>0</v>
      </c>
      <c r="II17" s="16">
        <f t="shared" ca="1" si="144"/>
        <v>0</v>
      </c>
      <c r="IJ17" s="16">
        <f t="shared" ca="1" si="114"/>
        <v>0</v>
      </c>
      <c r="IK17" s="16">
        <f t="shared" ca="1" si="114"/>
        <v>0</v>
      </c>
      <c r="IL17" s="16">
        <f t="shared" ca="1" si="114"/>
        <v>0</v>
      </c>
      <c r="IM17" s="16">
        <f t="shared" ca="1" si="114"/>
        <v>0</v>
      </c>
      <c r="IN17" s="16">
        <f t="shared" ca="1" si="114"/>
        <v>0</v>
      </c>
      <c r="IO17" s="16">
        <f t="shared" ca="1" si="114"/>
        <v>0</v>
      </c>
      <c r="IP17" s="16">
        <f t="shared" ca="1" si="114"/>
        <v>0</v>
      </c>
      <c r="IQ17" s="16">
        <f t="shared" ca="1" si="145"/>
        <v>0</v>
      </c>
      <c r="IR17" s="18">
        <f t="shared" ca="1" si="145"/>
        <v>0</v>
      </c>
      <c r="IS17" s="19">
        <f t="shared" ca="1" si="146"/>
        <v>2</v>
      </c>
      <c r="IT17" s="16">
        <f t="shared" ca="1" si="146"/>
        <v>2</v>
      </c>
      <c r="IU17" s="16">
        <f t="shared" ca="1" si="146"/>
        <v>2</v>
      </c>
      <c r="IV17" s="16">
        <f t="shared" ca="1" si="146"/>
        <v>2</v>
      </c>
      <c r="IW17" s="16">
        <f t="shared" ca="1" si="146"/>
        <v>2</v>
      </c>
      <c r="IX17" s="16">
        <f t="shared" ca="1" si="116"/>
        <v>2</v>
      </c>
      <c r="IY17" s="16">
        <f t="shared" ca="1" si="116"/>
        <v>2</v>
      </c>
      <c r="IZ17" s="16">
        <f t="shared" ca="1" si="116"/>
        <v>2</v>
      </c>
      <c r="JA17" s="16">
        <f t="shared" ca="1" si="116"/>
        <v>2</v>
      </c>
      <c r="JB17" s="16">
        <f t="shared" ca="1" si="116"/>
        <v>2</v>
      </c>
      <c r="JC17" s="16">
        <f t="shared" ca="1" si="116"/>
        <v>2</v>
      </c>
      <c r="JD17" s="18">
        <f t="shared" ca="1" si="116"/>
        <v>2</v>
      </c>
    </row>
    <row r="18" spans="1:264" x14ac:dyDescent="0.4">
      <c r="A18" s="2"/>
      <c r="B18" s="2"/>
      <c r="C18" s="2"/>
      <c r="D18" s="2"/>
      <c r="E18" s="2"/>
      <c r="F18" s="2"/>
      <c r="G18" s="2"/>
      <c r="H18" s="2"/>
      <c r="I18" s="2"/>
      <c r="J18" s="2"/>
      <c r="M18" s="19">
        <f t="shared" ref="M18:P22" ca="1" si="147">$I$4</f>
        <v>0</v>
      </c>
      <c r="N18" s="16">
        <f t="shared" ca="1" si="147"/>
        <v>0</v>
      </c>
      <c r="O18" s="16">
        <f t="shared" ca="1" si="147"/>
        <v>0</v>
      </c>
      <c r="P18" s="16">
        <f t="shared" ca="1" si="147"/>
        <v>0</v>
      </c>
      <c r="Q18" s="16">
        <f t="shared" ref="Q18:T19" ca="1" si="148">$J$4</f>
        <v>0</v>
      </c>
      <c r="R18" s="16">
        <f t="shared" ca="1" si="148"/>
        <v>0</v>
      </c>
      <c r="S18" s="16">
        <f t="shared" ca="1" si="148"/>
        <v>0</v>
      </c>
      <c r="T18" s="16">
        <f t="shared" ca="1" si="148"/>
        <v>0</v>
      </c>
      <c r="U18" s="16">
        <f t="shared" ref="U18:X22" ca="1" si="149">$I$4</f>
        <v>0</v>
      </c>
      <c r="V18" s="16">
        <f t="shared" ca="1" si="149"/>
        <v>0</v>
      </c>
      <c r="W18" s="16">
        <f t="shared" ca="1" si="149"/>
        <v>0</v>
      </c>
      <c r="X18" s="18">
        <f t="shared" ca="1" si="149"/>
        <v>0</v>
      </c>
      <c r="Y18" s="19">
        <f t="shared" ca="1" si="118"/>
        <v>0</v>
      </c>
      <c r="Z18" s="16">
        <f t="shared" ca="1" si="118"/>
        <v>0</v>
      </c>
      <c r="AA18" s="16">
        <f t="shared" ref="AA18:AB22" ca="1" si="150">$I$6</f>
        <v>0</v>
      </c>
      <c r="AB18" s="16">
        <f t="shared" ca="1" si="150"/>
        <v>0</v>
      </c>
      <c r="AC18" s="16">
        <f t="shared" ref="AC18:AF19" ca="1" si="151">$J$6</f>
        <v>0</v>
      </c>
      <c r="AD18" s="16">
        <f t="shared" ca="1" si="151"/>
        <v>0</v>
      </c>
      <c r="AE18" s="16">
        <f t="shared" ca="1" si="151"/>
        <v>0</v>
      </c>
      <c r="AF18" s="16">
        <f t="shared" ca="1" si="151"/>
        <v>0</v>
      </c>
      <c r="AG18" s="16">
        <f ca="1">$I$6</f>
        <v>0</v>
      </c>
      <c r="AH18" s="16">
        <f t="shared" ca="1" si="119"/>
        <v>0</v>
      </c>
      <c r="AI18" s="16">
        <f t="shared" ca="1" si="119"/>
        <v>0</v>
      </c>
      <c r="AJ18" s="18">
        <f t="shared" ca="1" si="119"/>
        <v>0</v>
      </c>
      <c r="AK18" s="19">
        <f t="shared" ca="1" si="120"/>
        <v>0</v>
      </c>
      <c r="AL18" s="16">
        <f t="shared" ca="1" si="120"/>
        <v>0</v>
      </c>
      <c r="AM18" s="16">
        <f t="shared" ca="1" si="120"/>
        <v>0</v>
      </c>
      <c r="AN18" s="16">
        <f t="shared" ca="1" si="120"/>
        <v>0</v>
      </c>
      <c r="AO18" s="16">
        <f t="shared" ref="AO18:AR19" ca="1" si="152">$J$8</f>
        <v>0</v>
      </c>
      <c r="AP18" s="16">
        <f t="shared" ca="1" si="152"/>
        <v>0</v>
      </c>
      <c r="AQ18" s="16">
        <f t="shared" ca="1" si="152"/>
        <v>0</v>
      </c>
      <c r="AR18" s="16">
        <f t="shared" ca="1" si="152"/>
        <v>0</v>
      </c>
      <c r="AS18" s="16">
        <f t="shared" ref="AS18:AV22" ca="1" si="153">$I$8</f>
        <v>0</v>
      </c>
      <c r="AT18" s="16">
        <f t="shared" ca="1" si="153"/>
        <v>0</v>
      </c>
      <c r="AU18" s="16">
        <f t="shared" ca="1" si="153"/>
        <v>0</v>
      </c>
      <c r="AV18" s="18">
        <f t="shared" ca="1" si="153"/>
        <v>0</v>
      </c>
      <c r="AW18" s="19">
        <f t="shared" ref="AW18:AZ22" ca="1" si="154">$I$9</f>
        <v>2</v>
      </c>
      <c r="AX18" s="16">
        <f t="shared" ca="1" si="154"/>
        <v>2</v>
      </c>
      <c r="AY18" s="16">
        <f t="shared" ca="1" si="154"/>
        <v>2</v>
      </c>
      <c r="AZ18" s="16">
        <f t="shared" ca="1" si="154"/>
        <v>2</v>
      </c>
      <c r="BA18" s="16">
        <f t="shared" ref="BA18:BD19" ca="1" si="155">$J$9</f>
        <v>3</v>
      </c>
      <c r="BB18" s="16">
        <f t="shared" ca="1" si="155"/>
        <v>3</v>
      </c>
      <c r="BC18" s="16">
        <f t="shared" ca="1" si="155"/>
        <v>3</v>
      </c>
      <c r="BD18" s="16">
        <f t="shared" ca="1" si="155"/>
        <v>3</v>
      </c>
      <c r="BE18" s="16">
        <f t="shared" ref="BE18:BH22" ca="1" si="156">$I$9</f>
        <v>2</v>
      </c>
      <c r="BF18" s="16">
        <f t="shared" ca="1" si="156"/>
        <v>2</v>
      </c>
      <c r="BG18" s="16">
        <f t="shared" ca="1" si="156"/>
        <v>2</v>
      </c>
      <c r="BH18" s="18">
        <f t="shared" ca="1" si="156"/>
        <v>2</v>
      </c>
      <c r="BI18" s="19">
        <f t="shared" ca="1" si="122"/>
        <v>0</v>
      </c>
      <c r="BJ18" s="16">
        <f t="shared" ref="BJ18:BL22" ca="1" si="157">$I$11</f>
        <v>0</v>
      </c>
      <c r="BK18" s="16">
        <f t="shared" ca="1" si="157"/>
        <v>0</v>
      </c>
      <c r="BL18" s="16">
        <f t="shared" ca="1" si="157"/>
        <v>0</v>
      </c>
      <c r="BM18" s="16">
        <f t="shared" ref="BM18:BP19" ca="1" si="158">$J$11</f>
        <v>0</v>
      </c>
      <c r="BN18" s="16">
        <f t="shared" ca="1" si="158"/>
        <v>0</v>
      </c>
      <c r="BO18" s="16">
        <f t="shared" ca="1" si="158"/>
        <v>0</v>
      </c>
      <c r="BP18" s="16">
        <f t="shared" ca="1" si="158"/>
        <v>0</v>
      </c>
      <c r="BQ18" s="16">
        <f t="shared" ca="1" si="123"/>
        <v>0</v>
      </c>
      <c r="BR18" s="16">
        <f t="shared" ca="1" si="123"/>
        <v>0</v>
      </c>
      <c r="BS18" s="16">
        <f t="shared" ca="1" si="123"/>
        <v>0</v>
      </c>
      <c r="BT18" s="18">
        <f t="shared" ca="1" si="123"/>
        <v>0</v>
      </c>
      <c r="BU18" s="19">
        <f t="shared" ca="1" si="124"/>
        <v>0</v>
      </c>
      <c r="BV18" s="16">
        <f t="shared" ca="1" si="124"/>
        <v>0</v>
      </c>
      <c r="BW18" s="16">
        <f t="shared" ca="1" si="124"/>
        <v>0</v>
      </c>
      <c r="BX18" s="16">
        <f ca="1">$I$13</f>
        <v>0</v>
      </c>
      <c r="BY18" s="16">
        <f t="shared" ref="BY18:CB19" ca="1" si="159">$J$13</f>
        <v>0</v>
      </c>
      <c r="BZ18" s="16">
        <f t="shared" ca="1" si="159"/>
        <v>0</v>
      </c>
      <c r="CA18" s="16">
        <f t="shared" ca="1" si="159"/>
        <v>0</v>
      </c>
      <c r="CB18" s="16">
        <f t="shared" ca="1" si="159"/>
        <v>0</v>
      </c>
      <c r="CC18" s="16">
        <f t="shared" ref="CC18:CD22" ca="1" si="160">$I$13</f>
        <v>0</v>
      </c>
      <c r="CD18" s="16">
        <f t="shared" ca="1" si="160"/>
        <v>0</v>
      </c>
      <c r="CE18" s="16">
        <f t="shared" ca="1" si="125"/>
        <v>0</v>
      </c>
      <c r="CF18" s="18">
        <f t="shared" ca="1" si="125"/>
        <v>0</v>
      </c>
      <c r="CG18" s="19">
        <f t="shared" ref="CG18:CJ22" ca="1" si="161">$I$15</f>
        <v>2</v>
      </c>
      <c r="CH18" s="16">
        <f t="shared" ca="1" si="161"/>
        <v>2</v>
      </c>
      <c r="CI18" s="16">
        <f t="shared" ca="1" si="161"/>
        <v>2</v>
      </c>
      <c r="CJ18" s="16">
        <f t="shared" ca="1" si="161"/>
        <v>2</v>
      </c>
      <c r="CK18" s="16">
        <f t="shared" ref="CK18:CN19" ca="1" si="162">$J$15</f>
        <v>3</v>
      </c>
      <c r="CL18" s="16">
        <f t="shared" ca="1" si="162"/>
        <v>3</v>
      </c>
      <c r="CM18" s="16">
        <f t="shared" ca="1" si="162"/>
        <v>3</v>
      </c>
      <c r="CN18" s="16">
        <f t="shared" ca="1" si="162"/>
        <v>3</v>
      </c>
      <c r="CO18" s="16">
        <f t="shared" ref="CO18:CR22" ca="1" si="163">$I$15</f>
        <v>2</v>
      </c>
      <c r="CP18" s="16">
        <f t="shared" ca="1" si="163"/>
        <v>2</v>
      </c>
      <c r="CQ18" s="16">
        <f t="shared" ca="1" si="163"/>
        <v>2</v>
      </c>
      <c r="CR18" s="18">
        <f t="shared" ca="1" si="163"/>
        <v>2</v>
      </c>
      <c r="CS18" s="19">
        <f t="shared" ref="CS18:CV22" ca="1" si="164">$I$4</f>
        <v>0</v>
      </c>
      <c r="CT18" s="16">
        <f t="shared" ca="1" si="164"/>
        <v>0</v>
      </c>
      <c r="CU18" s="16">
        <f t="shared" ca="1" si="164"/>
        <v>0</v>
      </c>
      <c r="CV18" s="16">
        <f t="shared" ca="1" si="164"/>
        <v>0</v>
      </c>
      <c r="CW18" s="16">
        <f t="shared" ref="CW18:CZ19" ca="1" si="165">$J$4</f>
        <v>0</v>
      </c>
      <c r="CX18" s="16">
        <f t="shared" ca="1" si="165"/>
        <v>0</v>
      </c>
      <c r="CY18" s="16">
        <f t="shared" ca="1" si="165"/>
        <v>0</v>
      </c>
      <c r="CZ18" s="16">
        <f t="shared" ca="1" si="165"/>
        <v>0</v>
      </c>
      <c r="DA18" s="16">
        <f t="shared" ref="DA18:DD22" ca="1" si="166">$I$4</f>
        <v>0</v>
      </c>
      <c r="DB18" s="16">
        <f t="shared" ca="1" si="166"/>
        <v>0</v>
      </c>
      <c r="DC18" s="16">
        <f t="shared" ca="1" si="166"/>
        <v>0</v>
      </c>
      <c r="DD18" s="18">
        <f t="shared" ca="1" si="166"/>
        <v>0</v>
      </c>
      <c r="DE18" s="19">
        <f t="shared" ca="1" si="128"/>
        <v>0</v>
      </c>
      <c r="DF18" s="16">
        <f t="shared" ca="1" si="128"/>
        <v>0</v>
      </c>
      <c r="DG18" s="16">
        <f t="shared" ref="DG18:DH22" ca="1" si="167">$I$6</f>
        <v>0</v>
      </c>
      <c r="DH18" s="16">
        <f t="shared" ca="1" si="167"/>
        <v>0</v>
      </c>
      <c r="DI18" s="16">
        <f t="shared" ref="DI18:DL19" ca="1" si="168">$J$6</f>
        <v>0</v>
      </c>
      <c r="DJ18" s="16">
        <f t="shared" ca="1" si="168"/>
        <v>0</v>
      </c>
      <c r="DK18" s="16">
        <f t="shared" ca="1" si="168"/>
        <v>0</v>
      </c>
      <c r="DL18" s="16">
        <f t="shared" ca="1" si="168"/>
        <v>0</v>
      </c>
      <c r="DM18" s="16">
        <f ca="1">$I$6</f>
        <v>0</v>
      </c>
      <c r="DN18" s="16">
        <f t="shared" ca="1" si="129"/>
        <v>0</v>
      </c>
      <c r="DO18" s="16">
        <f t="shared" ca="1" si="129"/>
        <v>0</v>
      </c>
      <c r="DP18" s="18">
        <f t="shared" ca="1" si="129"/>
        <v>0</v>
      </c>
      <c r="DQ18" s="19">
        <f t="shared" ca="1" si="130"/>
        <v>0</v>
      </c>
      <c r="DR18" s="16">
        <f t="shared" ca="1" si="130"/>
        <v>0</v>
      </c>
      <c r="DS18" s="16">
        <f t="shared" ca="1" si="130"/>
        <v>0</v>
      </c>
      <c r="DT18" s="16">
        <f t="shared" ca="1" si="130"/>
        <v>0</v>
      </c>
      <c r="DU18" s="16">
        <f t="shared" ref="DU18:DX19" ca="1" si="169">$J$8</f>
        <v>0</v>
      </c>
      <c r="DV18" s="16">
        <f t="shared" ca="1" si="169"/>
        <v>0</v>
      </c>
      <c r="DW18" s="16">
        <f t="shared" ca="1" si="169"/>
        <v>0</v>
      </c>
      <c r="DX18" s="16">
        <f t="shared" ca="1" si="169"/>
        <v>0</v>
      </c>
      <c r="DY18" s="16">
        <f t="shared" ref="DY18:EB22" ca="1" si="170">$I$8</f>
        <v>0</v>
      </c>
      <c r="DZ18" s="16">
        <f t="shared" ca="1" si="170"/>
        <v>0</v>
      </c>
      <c r="EA18" s="16">
        <f t="shared" ca="1" si="170"/>
        <v>0</v>
      </c>
      <c r="EB18" s="18">
        <f t="shared" ca="1" si="170"/>
        <v>0</v>
      </c>
      <c r="EC18" s="19">
        <f t="shared" ref="EC18:EF22" ca="1" si="171">$I$9</f>
        <v>2</v>
      </c>
      <c r="ED18" s="16">
        <f t="shared" ca="1" si="171"/>
        <v>2</v>
      </c>
      <c r="EE18" s="16">
        <f t="shared" ca="1" si="171"/>
        <v>2</v>
      </c>
      <c r="EF18" s="16">
        <f t="shared" ca="1" si="171"/>
        <v>2</v>
      </c>
      <c r="EG18" s="16">
        <f t="shared" ref="EG18:EJ19" ca="1" si="172">$J$9</f>
        <v>3</v>
      </c>
      <c r="EH18" s="16">
        <f t="shared" ca="1" si="172"/>
        <v>3</v>
      </c>
      <c r="EI18" s="16">
        <f t="shared" ca="1" si="172"/>
        <v>3</v>
      </c>
      <c r="EJ18" s="16">
        <f t="shared" ca="1" si="172"/>
        <v>3</v>
      </c>
      <c r="EK18" s="16">
        <f t="shared" ref="EK18:EN22" ca="1" si="173">$I$9</f>
        <v>2</v>
      </c>
      <c r="EL18" s="16">
        <f t="shared" ca="1" si="173"/>
        <v>2</v>
      </c>
      <c r="EM18" s="16">
        <f t="shared" ca="1" si="173"/>
        <v>2</v>
      </c>
      <c r="EN18" s="18">
        <f t="shared" ca="1" si="173"/>
        <v>2</v>
      </c>
      <c r="EO18" s="19">
        <f t="shared" ca="1" si="132"/>
        <v>0</v>
      </c>
      <c r="EP18" s="16">
        <f t="shared" ref="EP18:ER22" ca="1" si="174">$I$11</f>
        <v>0</v>
      </c>
      <c r="EQ18" s="16">
        <f t="shared" ca="1" si="174"/>
        <v>0</v>
      </c>
      <c r="ER18" s="16">
        <f t="shared" ca="1" si="174"/>
        <v>0</v>
      </c>
      <c r="ES18" s="16">
        <f t="shared" ref="ES18:EV19" ca="1" si="175">$J$11</f>
        <v>0</v>
      </c>
      <c r="ET18" s="16">
        <f t="shared" ca="1" si="175"/>
        <v>0</v>
      </c>
      <c r="EU18" s="16">
        <f t="shared" ca="1" si="175"/>
        <v>0</v>
      </c>
      <c r="EV18" s="16">
        <f t="shared" ca="1" si="175"/>
        <v>0</v>
      </c>
      <c r="EW18" s="16">
        <f t="shared" ca="1" si="133"/>
        <v>0</v>
      </c>
      <c r="EX18" s="16">
        <f t="shared" ca="1" si="133"/>
        <v>0</v>
      </c>
      <c r="EY18" s="16">
        <f t="shared" ca="1" si="133"/>
        <v>0</v>
      </c>
      <c r="EZ18" s="18">
        <f t="shared" ca="1" si="133"/>
        <v>0</v>
      </c>
      <c r="FA18" s="19">
        <f t="shared" ca="1" si="134"/>
        <v>0</v>
      </c>
      <c r="FB18" s="16">
        <f t="shared" ca="1" si="134"/>
        <v>0</v>
      </c>
      <c r="FC18" s="16">
        <f t="shared" ca="1" si="134"/>
        <v>0</v>
      </c>
      <c r="FD18" s="16">
        <f ca="1">$I$13</f>
        <v>0</v>
      </c>
      <c r="FE18" s="16">
        <f t="shared" ref="FE18:FH19" ca="1" si="176">$J$13</f>
        <v>0</v>
      </c>
      <c r="FF18" s="16">
        <f t="shared" ca="1" si="176"/>
        <v>0</v>
      </c>
      <c r="FG18" s="16">
        <f t="shared" ca="1" si="176"/>
        <v>0</v>
      </c>
      <c r="FH18" s="16">
        <f t="shared" ca="1" si="176"/>
        <v>0</v>
      </c>
      <c r="FI18" s="16">
        <f t="shared" ref="FI18:FJ22" ca="1" si="177">$I$13</f>
        <v>0</v>
      </c>
      <c r="FJ18" s="16">
        <f t="shared" ca="1" si="177"/>
        <v>0</v>
      </c>
      <c r="FK18" s="16">
        <f t="shared" ca="1" si="135"/>
        <v>0</v>
      </c>
      <c r="FL18" s="18">
        <f t="shared" ca="1" si="135"/>
        <v>0</v>
      </c>
      <c r="FM18" s="19">
        <f t="shared" ref="FM18:FP22" ca="1" si="178">$I$15</f>
        <v>2</v>
      </c>
      <c r="FN18" s="16">
        <f t="shared" ca="1" si="178"/>
        <v>2</v>
      </c>
      <c r="FO18" s="16">
        <f t="shared" ca="1" si="178"/>
        <v>2</v>
      </c>
      <c r="FP18" s="16">
        <f t="shared" ca="1" si="178"/>
        <v>2</v>
      </c>
      <c r="FQ18" s="16">
        <f t="shared" ref="FQ18:FT19" ca="1" si="179">$J$15</f>
        <v>3</v>
      </c>
      <c r="FR18" s="16">
        <f t="shared" ca="1" si="179"/>
        <v>3</v>
      </c>
      <c r="FS18" s="16">
        <f t="shared" ca="1" si="179"/>
        <v>3</v>
      </c>
      <c r="FT18" s="16">
        <f t="shared" ca="1" si="179"/>
        <v>3</v>
      </c>
      <c r="FU18" s="16">
        <f t="shared" ref="FU18:FX22" ca="1" si="180">$I$15</f>
        <v>2</v>
      </c>
      <c r="FV18" s="16">
        <f t="shared" ca="1" si="180"/>
        <v>2</v>
      </c>
      <c r="FW18" s="16">
        <f t="shared" ca="1" si="180"/>
        <v>2</v>
      </c>
      <c r="FX18" s="18">
        <f t="shared" ca="1" si="180"/>
        <v>2</v>
      </c>
      <c r="FY18" s="19">
        <f t="shared" ref="FY18:GB22" ca="1" si="181">$I$4</f>
        <v>0</v>
      </c>
      <c r="FZ18" s="16">
        <f t="shared" ca="1" si="181"/>
        <v>0</v>
      </c>
      <c r="GA18" s="16">
        <f t="shared" ca="1" si="181"/>
        <v>0</v>
      </c>
      <c r="GB18" s="16">
        <f t="shared" ca="1" si="181"/>
        <v>0</v>
      </c>
      <c r="GC18" s="16">
        <f t="shared" ref="GC18:GF19" ca="1" si="182">$J$4</f>
        <v>0</v>
      </c>
      <c r="GD18" s="16">
        <f t="shared" ca="1" si="182"/>
        <v>0</v>
      </c>
      <c r="GE18" s="16">
        <f t="shared" ca="1" si="182"/>
        <v>0</v>
      </c>
      <c r="GF18" s="16">
        <f t="shared" ca="1" si="182"/>
        <v>0</v>
      </c>
      <c r="GG18" s="16">
        <f t="shared" ref="GG18:GJ22" ca="1" si="183">$I$4</f>
        <v>0</v>
      </c>
      <c r="GH18" s="16">
        <f t="shared" ca="1" si="183"/>
        <v>0</v>
      </c>
      <c r="GI18" s="16">
        <f t="shared" ca="1" si="183"/>
        <v>0</v>
      </c>
      <c r="GJ18" s="18">
        <f t="shared" ca="1" si="183"/>
        <v>0</v>
      </c>
      <c r="GK18" s="19">
        <f t="shared" ca="1" si="138"/>
        <v>0</v>
      </c>
      <c r="GL18" s="16">
        <f t="shared" ca="1" si="138"/>
        <v>0</v>
      </c>
      <c r="GM18" s="16">
        <f t="shared" ref="GM18:GN22" ca="1" si="184">$I$6</f>
        <v>0</v>
      </c>
      <c r="GN18" s="16">
        <f t="shared" ca="1" si="184"/>
        <v>0</v>
      </c>
      <c r="GO18" s="16">
        <f t="shared" ref="GO18:GR19" ca="1" si="185">$J$6</f>
        <v>0</v>
      </c>
      <c r="GP18" s="16">
        <f t="shared" ca="1" si="185"/>
        <v>0</v>
      </c>
      <c r="GQ18" s="16">
        <f t="shared" ca="1" si="185"/>
        <v>0</v>
      </c>
      <c r="GR18" s="16">
        <f t="shared" ca="1" si="185"/>
        <v>0</v>
      </c>
      <c r="GS18" s="16">
        <f ca="1">$I$6</f>
        <v>0</v>
      </c>
      <c r="GT18" s="16">
        <f t="shared" ca="1" si="139"/>
        <v>0</v>
      </c>
      <c r="GU18" s="16">
        <f t="shared" ca="1" si="139"/>
        <v>0</v>
      </c>
      <c r="GV18" s="18">
        <f t="shared" ca="1" si="139"/>
        <v>0</v>
      </c>
      <c r="GW18" s="19">
        <f t="shared" ca="1" si="140"/>
        <v>0</v>
      </c>
      <c r="GX18" s="16">
        <f t="shared" ca="1" si="140"/>
        <v>0</v>
      </c>
      <c r="GY18" s="16">
        <f t="shared" ca="1" si="140"/>
        <v>0</v>
      </c>
      <c r="GZ18" s="16">
        <f t="shared" ca="1" si="140"/>
        <v>0</v>
      </c>
      <c r="HA18" s="16">
        <f t="shared" ref="HA18:HD19" ca="1" si="186">$J$8</f>
        <v>0</v>
      </c>
      <c r="HB18" s="16">
        <f t="shared" ca="1" si="186"/>
        <v>0</v>
      </c>
      <c r="HC18" s="16">
        <f t="shared" ca="1" si="186"/>
        <v>0</v>
      </c>
      <c r="HD18" s="16">
        <f t="shared" ca="1" si="186"/>
        <v>0</v>
      </c>
      <c r="HE18" s="16">
        <f t="shared" ref="HE18:HH22" ca="1" si="187">$I$8</f>
        <v>0</v>
      </c>
      <c r="HF18" s="16">
        <f t="shared" ca="1" si="187"/>
        <v>0</v>
      </c>
      <c r="HG18" s="16">
        <f t="shared" ca="1" si="187"/>
        <v>0</v>
      </c>
      <c r="HH18" s="18">
        <f t="shared" ca="1" si="187"/>
        <v>0</v>
      </c>
      <c r="HI18" s="19">
        <f t="shared" ref="HI18:HL22" ca="1" si="188">$I$9</f>
        <v>2</v>
      </c>
      <c r="HJ18" s="16">
        <f t="shared" ca="1" si="188"/>
        <v>2</v>
      </c>
      <c r="HK18" s="16">
        <f t="shared" ca="1" si="188"/>
        <v>2</v>
      </c>
      <c r="HL18" s="16">
        <f t="shared" ca="1" si="188"/>
        <v>2</v>
      </c>
      <c r="HM18" s="16">
        <f t="shared" ref="HM18:HP19" ca="1" si="189">$J$9</f>
        <v>3</v>
      </c>
      <c r="HN18" s="16">
        <f t="shared" ca="1" si="189"/>
        <v>3</v>
      </c>
      <c r="HO18" s="16">
        <f t="shared" ca="1" si="189"/>
        <v>3</v>
      </c>
      <c r="HP18" s="16">
        <f t="shared" ca="1" si="189"/>
        <v>3</v>
      </c>
      <c r="HQ18" s="16">
        <f t="shared" ref="HQ18:HT22" ca="1" si="190">$I$9</f>
        <v>2</v>
      </c>
      <c r="HR18" s="16">
        <f t="shared" ca="1" si="190"/>
        <v>2</v>
      </c>
      <c r="HS18" s="16">
        <f t="shared" ca="1" si="190"/>
        <v>2</v>
      </c>
      <c r="HT18" s="18">
        <f t="shared" ca="1" si="190"/>
        <v>2</v>
      </c>
      <c r="HU18" s="19">
        <f t="shared" ca="1" si="142"/>
        <v>0</v>
      </c>
      <c r="HV18" s="16">
        <f t="shared" ref="HV18:HX22" ca="1" si="191">$I$11</f>
        <v>0</v>
      </c>
      <c r="HW18" s="16">
        <f t="shared" ca="1" si="191"/>
        <v>0</v>
      </c>
      <c r="HX18" s="16">
        <f t="shared" ca="1" si="191"/>
        <v>0</v>
      </c>
      <c r="HY18" s="16">
        <f t="shared" ref="HY18:IB19" ca="1" si="192">$J$11</f>
        <v>0</v>
      </c>
      <c r="HZ18" s="16">
        <f t="shared" ca="1" si="192"/>
        <v>0</v>
      </c>
      <c r="IA18" s="16">
        <f t="shared" ca="1" si="192"/>
        <v>0</v>
      </c>
      <c r="IB18" s="16">
        <f t="shared" ca="1" si="192"/>
        <v>0</v>
      </c>
      <c r="IC18" s="16">
        <f t="shared" ca="1" si="143"/>
        <v>0</v>
      </c>
      <c r="ID18" s="16">
        <f t="shared" ca="1" si="143"/>
        <v>0</v>
      </c>
      <c r="IE18" s="16">
        <f t="shared" ca="1" si="143"/>
        <v>0</v>
      </c>
      <c r="IF18" s="18">
        <f t="shared" ca="1" si="143"/>
        <v>0</v>
      </c>
      <c r="IG18" s="19">
        <f t="shared" ca="1" si="144"/>
        <v>0</v>
      </c>
      <c r="IH18" s="16">
        <f t="shared" ca="1" si="144"/>
        <v>0</v>
      </c>
      <c r="II18" s="16">
        <f t="shared" ca="1" si="144"/>
        <v>0</v>
      </c>
      <c r="IJ18" s="16">
        <f ca="1">$I$13</f>
        <v>0</v>
      </c>
      <c r="IK18" s="16">
        <f t="shared" ref="IK18:IN19" ca="1" si="193">$J$13</f>
        <v>0</v>
      </c>
      <c r="IL18" s="16">
        <f t="shared" ca="1" si="193"/>
        <v>0</v>
      </c>
      <c r="IM18" s="16">
        <f t="shared" ca="1" si="193"/>
        <v>0</v>
      </c>
      <c r="IN18" s="16">
        <f t="shared" ca="1" si="193"/>
        <v>0</v>
      </c>
      <c r="IO18" s="16">
        <f t="shared" ref="IO18:IP22" ca="1" si="194">$I$13</f>
        <v>0</v>
      </c>
      <c r="IP18" s="16">
        <f t="shared" ca="1" si="194"/>
        <v>0</v>
      </c>
      <c r="IQ18" s="16">
        <f t="shared" ca="1" si="145"/>
        <v>0</v>
      </c>
      <c r="IR18" s="18">
        <f t="shared" ca="1" si="145"/>
        <v>0</v>
      </c>
      <c r="IS18" s="19">
        <f t="shared" ref="IS18:IV22" ca="1" si="195">$I$15</f>
        <v>2</v>
      </c>
      <c r="IT18" s="16">
        <f t="shared" ca="1" si="195"/>
        <v>2</v>
      </c>
      <c r="IU18" s="16">
        <f t="shared" ca="1" si="195"/>
        <v>2</v>
      </c>
      <c r="IV18" s="16">
        <f t="shared" ca="1" si="195"/>
        <v>2</v>
      </c>
      <c r="IW18" s="16">
        <f t="shared" ref="IW18:IZ19" ca="1" si="196">$J$15</f>
        <v>3</v>
      </c>
      <c r="IX18" s="16">
        <f t="shared" ca="1" si="196"/>
        <v>3</v>
      </c>
      <c r="IY18" s="16">
        <f t="shared" ca="1" si="196"/>
        <v>3</v>
      </c>
      <c r="IZ18" s="16">
        <f t="shared" ca="1" si="196"/>
        <v>3</v>
      </c>
      <c r="JA18" s="16">
        <f t="shared" ref="JA18:JD22" ca="1" si="197">$I$15</f>
        <v>2</v>
      </c>
      <c r="JB18" s="16">
        <f t="shared" ca="1" si="197"/>
        <v>2</v>
      </c>
      <c r="JC18" s="16">
        <f t="shared" ca="1" si="197"/>
        <v>2</v>
      </c>
      <c r="JD18" s="18">
        <f t="shared" ca="1" si="197"/>
        <v>2</v>
      </c>
    </row>
    <row r="19" spans="1:264" x14ac:dyDescent="0.4">
      <c r="A19" s="2"/>
      <c r="B19" s="2"/>
      <c r="C19" s="2"/>
      <c r="D19" s="2"/>
      <c r="E19" s="2"/>
      <c r="F19" s="2"/>
      <c r="G19" s="2"/>
      <c r="H19" s="2"/>
      <c r="I19" s="2"/>
      <c r="J19" s="2"/>
      <c r="M19" s="19">
        <f t="shared" ca="1" si="147"/>
        <v>0</v>
      </c>
      <c r="N19" s="16">
        <f t="shared" ca="1" si="147"/>
        <v>0</v>
      </c>
      <c r="O19" s="16">
        <f t="shared" ca="1" si="147"/>
        <v>0</v>
      </c>
      <c r="P19" s="16">
        <f t="shared" ca="1" si="147"/>
        <v>0</v>
      </c>
      <c r="Q19" s="16">
        <f t="shared" ca="1" si="148"/>
        <v>0</v>
      </c>
      <c r="R19" s="16">
        <f t="shared" ca="1" si="148"/>
        <v>0</v>
      </c>
      <c r="S19" s="16">
        <f t="shared" ca="1" si="148"/>
        <v>0</v>
      </c>
      <c r="T19" s="16">
        <f t="shared" ca="1" si="148"/>
        <v>0</v>
      </c>
      <c r="U19" s="16">
        <f t="shared" ca="1" si="149"/>
        <v>0</v>
      </c>
      <c r="V19" s="16">
        <f t="shared" ca="1" si="149"/>
        <v>0</v>
      </c>
      <c r="W19" s="16">
        <f t="shared" ca="1" si="149"/>
        <v>0</v>
      </c>
      <c r="X19" s="18">
        <f t="shared" ca="1" si="149"/>
        <v>0</v>
      </c>
      <c r="Y19" s="19">
        <f t="shared" ca="1" si="118"/>
        <v>0</v>
      </c>
      <c r="Z19" s="16">
        <f t="shared" ca="1" si="118"/>
        <v>0</v>
      </c>
      <c r="AA19" s="16">
        <f t="shared" ca="1" si="150"/>
        <v>0</v>
      </c>
      <c r="AB19" s="16">
        <f t="shared" ca="1" si="150"/>
        <v>0</v>
      </c>
      <c r="AC19" s="16">
        <f t="shared" ca="1" si="151"/>
        <v>0</v>
      </c>
      <c r="AD19" s="16">
        <f t="shared" ca="1" si="151"/>
        <v>0</v>
      </c>
      <c r="AE19" s="16">
        <f t="shared" ca="1" si="151"/>
        <v>0</v>
      </c>
      <c r="AF19" s="16">
        <f t="shared" ca="1" si="151"/>
        <v>0</v>
      </c>
      <c r="AG19" s="16">
        <f ca="1">$I$6</f>
        <v>0</v>
      </c>
      <c r="AH19" s="16">
        <f t="shared" ca="1" si="119"/>
        <v>0</v>
      </c>
      <c r="AI19" s="16">
        <f t="shared" ca="1" si="119"/>
        <v>0</v>
      </c>
      <c r="AJ19" s="18">
        <f t="shared" ca="1" si="119"/>
        <v>0</v>
      </c>
      <c r="AK19" s="19">
        <f t="shared" ca="1" si="120"/>
        <v>0</v>
      </c>
      <c r="AL19" s="16">
        <f t="shared" ca="1" si="120"/>
        <v>0</v>
      </c>
      <c r="AM19" s="16">
        <f t="shared" ca="1" si="120"/>
        <v>0</v>
      </c>
      <c r="AN19" s="16">
        <f t="shared" ca="1" si="120"/>
        <v>0</v>
      </c>
      <c r="AO19" s="16">
        <f t="shared" ca="1" si="152"/>
        <v>0</v>
      </c>
      <c r="AP19" s="16">
        <f t="shared" ca="1" si="152"/>
        <v>0</v>
      </c>
      <c r="AQ19" s="16">
        <f t="shared" ca="1" si="152"/>
        <v>0</v>
      </c>
      <c r="AR19" s="16">
        <f t="shared" ca="1" si="152"/>
        <v>0</v>
      </c>
      <c r="AS19" s="16">
        <f t="shared" ca="1" si="153"/>
        <v>0</v>
      </c>
      <c r="AT19" s="16">
        <f t="shared" ca="1" si="153"/>
        <v>0</v>
      </c>
      <c r="AU19" s="16">
        <f t="shared" ca="1" si="153"/>
        <v>0</v>
      </c>
      <c r="AV19" s="18">
        <f t="shared" ca="1" si="153"/>
        <v>0</v>
      </c>
      <c r="AW19" s="19">
        <f t="shared" ca="1" si="154"/>
        <v>2</v>
      </c>
      <c r="AX19" s="16">
        <f t="shared" ca="1" si="154"/>
        <v>2</v>
      </c>
      <c r="AY19" s="16">
        <f t="shared" ca="1" si="154"/>
        <v>2</v>
      </c>
      <c r="AZ19" s="16">
        <f t="shared" ca="1" si="154"/>
        <v>2</v>
      </c>
      <c r="BA19" s="16">
        <f t="shared" ca="1" si="155"/>
        <v>3</v>
      </c>
      <c r="BB19" s="16">
        <f t="shared" ca="1" si="155"/>
        <v>3</v>
      </c>
      <c r="BC19" s="16">
        <f t="shared" ca="1" si="155"/>
        <v>3</v>
      </c>
      <c r="BD19" s="16">
        <f t="shared" ca="1" si="155"/>
        <v>3</v>
      </c>
      <c r="BE19" s="16">
        <f t="shared" ca="1" si="156"/>
        <v>2</v>
      </c>
      <c r="BF19" s="16">
        <f t="shared" ca="1" si="156"/>
        <v>2</v>
      </c>
      <c r="BG19" s="16">
        <f t="shared" ca="1" si="156"/>
        <v>2</v>
      </c>
      <c r="BH19" s="18">
        <f t="shared" ca="1" si="156"/>
        <v>2</v>
      </c>
      <c r="BI19" s="19">
        <f t="shared" ca="1" si="122"/>
        <v>0</v>
      </c>
      <c r="BJ19" s="16">
        <f t="shared" ca="1" si="157"/>
        <v>0</v>
      </c>
      <c r="BK19" s="16">
        <f t="shared" ca="1" si="157"/>
        <v>0</v>
      </c>
      <c r="BL19" s="16">
        <f t="shared" ca="1" si="157"/>
        <v>0</v>
      </c>
      <c r="BM19" s="16">
        <f t="shared" ca="1" si="158"/>
        <v>0</v>
      </c>
      <c r="BN19" s="16">
        <f t="shared" ca="1" si="158"/>
        <v>0</v>
      </c>
      <c r="BO19" s="16">
        <f t="shared" ca="1" si="158"/>
        <v>0</v>
      </c>
      <c r="BP19" s="16">
        <f t="shared" ca="1" si="158"/>
        <v>0</v>
      </c>
      <c r="BQ19" s="16">
        <f t="shared" ca="1" si="123"/>
        <v>0</v>
      </c>
      <c r="BR19" s="16">
        <f t="shared" ca="1" si="123"/>
        <v>0</v>
      </c>
      <c r="BS19" s="16">
        <f t="shared" ca="1" si="123"/>
        <v>0</v>
      </c>
      <c r="BT19" s="18">
        <f t="shared" ca="1" si="123"/>
        <v>0</v>
      </c>
      <c r="BU19" s="19">
        <f t="shared" ca="1" si="124"/>
        <v>0</v>
      </c>
      <c r="BV19" s="16">
        <f t="shared" ca="1" si="124"/>
        <v>0</v>
      </c>
      <c r="BW19" s="16">
        <f t="shared" ca="1" si="124"/>
        <v>0</v>
      </c>
      <c r="BX19" s="16">
        <f ca="1">$I$13</f>
        <v>0</v>
      </c>
      <c r="BY19" s="16">
        <f t="shared" ca="1" si="159"/>
        <v>0</v>
      </c>
      <c r="BZ19" s="16">
        <f t="shared" ca="1" si="159"/>
        <v>0</v>
      </c>
      <c r="CA19" s="16">
        <f t="shared" ca="1" si="159"/>
        <v>0</v>
      </c>
      <c r="CB19" s="16">
        <f t="shared" ca="1" si="159"/>
        <v>0</v>
      </c>
      <c r="CC19" s="16">
        <f t="shared" ca="1" si="160"/>
        <v>0</v>
      </c>
      <c r="CD19" s="16">
        <f t="shared" ca="1" si="160"/>
        <v>0</v>
      </c>
      <c r="CE19" s="16">
        <f t="shared" ca="1" si="125"/>
        <v>0</v>
      </c>
      <c r="CF19" s="18">
        <f t="shared" ca="1" si="125"/>
        <v>0</v>
      </c>
      <c r="CG19" s="19">
        <f t="shared" ca="1" si="161"/>
        <v>2</v>
      </c>
      <c r="CH19" s="16">
        <f t="shared" ca="1" si="161"/>
        <v>2</v>
      </c>
      <c r="CI19" s="16">
        <f t="shared" ca="1" si="161"/>
        <v>2</v>
      </c>
      <c r="CJ19" s="16">
        <f t="shared" ca="1" si="161"/>
        <v>2</v>
      </c>
      <c r="CK19" s="16">
        <f t="shared" ca="1" si="162"/>
        <v>3</v>
      </c>
      <c r="CL19" s="16">
        <f t="shared" ca="1" si="162"/>
        <v>3</v>
      </c>
      <c r="CM19" s="16">
        <f t="shared" ca="1" si="162"/>
        <v>3</v>
      </c>
      <c r="CN19" s="16">
        <f t="shared" ca="1" si="162"/>
        <v>3</v>
      </c>
      <c r="CO19" s="16">
        <f t="shared" ca="1" si="163"/>
        <v>2</v>
      </c>
      <c r="CP19" s="16">
        <f t="shared" ca="1" si="163"/>
        <v>2</v>
      </c>
      <c r="CQ19" s="16">
        <f t="shared" ca="1" si="163"/>
        <v>2</v>
      </c>
      <c r="CR19" s="18">
        <f t="shared" ca="1" si="163"/>
        <v>2</v>
      </c>
      <c r="CS19" s="19">
        <f t="shared" ca="1" si="164"/>
        <v>0</v>
      </c>
      <c r="CT19" s="16">
        <f t="shared" ca="1" si="164"/>
        <v>0</v>
      </c>
      <c r="CU19" s="16">
        <f t="shared" ca="1" si="164"/>
        <v>0</v>
      </c>
      <c r="CV19" s="16">
        <f t="shared" ca="1" si="164"/>
        <v>0</v>
      </c>
      <c r="CW19" s="16">
        <f t="shared" ca="1" si="165"/>
        <v>0</v>
      </c>
      <c r="CX19" s="16">
        <f t="shared" ca="1" si="165"/>
        <v>0</v>
      </c>
      <c r="CY19" s="16">
        <f t="shared" ca="1" si="165"/>
        <v>0</v>
      </c>
      <c r="CZ19" s="16">
        <f t="shared" ca="1" si="165"/>
        <v>0</v>
      </c>
      <c r="DA19" s="16">
        <f t="shared" ca="1" si="166"/>
        <v>0</v>
      </c>
      <c r="DB19" s="16">
        <f t="shared" ca="1" si="166"/>
        <v>0</v>
      </c>
      <c r="DC19" s="16">
        <f t="shared" ca="1" si="166"/>
        <v>0</v>
      </c>
      <c r="DD19" s="18">
        <f t="shared" ca="1" si="166"/>
        <v>0</v>
      </c>
      <c r="DE19" s="19">
        <f t="shared" ca="1" si="128"/>
        <v>0</v>
      </c>
      <c r="DF19" s="16">
        <f t="shared" ca="1" si="128"/>
        <v>0</v>
      </c>
      <c r="DG19" s="16">
        <f t="shared" ca="1" si="167"/>
        <v>0</v>
      </c>
      <c r="DH19" s="16">
        <f t="shared" ca="1" si="167"/>
        <v>0</v>
      </c>
      <c r="DI19" s="16">
        <f t="shared" ca="1" si="168"/>
        <v>0</v>
      </c>
      <c r="DJ19" s="16">
        <f t="shared" ca="1" si="168"/>
        <v>0</v>
      </c>
      <c r="DK19" s="16">
        <f t="shared" ca="1" si="168"/>
        <v>0</v>
      </c>
      <c r="DL19" s="16">
        <f t="shared" ca="1" si="168"/>
        <v>0</v>
      </c>
      <c r="DM19" s="16">
        <f ca="1">$I$6</f>
        <v>0</v>
      </c>
      <c r="DN19" s="16">
        <f t="shared" ca="1" si="129"/>
        <v>0</v>
      </c>
      <c r="DO19" s="16">
        <f t="shared" ca="1" si="129"/>
        <v>0</v>
      </c>
      <c r="DP19" s="18">
        <f t="shared" ca="1" si="129"/>
        <v>0</v>
      </c>
      <c r="DQ19" s="19">
        <f t="shared" ca="1" si="130"/>
        <v>0</v>
      </c>
      <c r="DR19" s="16">
        <f t="shared" ca="1" si="130"/>
        <v>0</v>
      </c>
      <c r="DS19" s="16">
        <f t="shared" ca="1" si="130"/>
        <v>0</v>
      </c>
      <c r="DT19" s="16">
        <f t="shared" ca="1" si="130"/>
        <v>0</v>
      </c>
      <c r="DU19" s="16">
        <f t="shared" ca="1" si="169"/>
        <v>0</v>
      </c>
      <c r="DV19" s="16">
        <f t="shared" ca="1" si="169"/>
        <v>0</v>
      </c>
      <c r="DW19" s="16">
        <f t="shared" ca="1" si="169"/>
        <v>0</v>
      </c>
      <c r="DX19" s="16">
        <f t="shared" ca="1" si="169"/>
        <v>0</v>
      </c>
      <c r="DY19" s="16">
        <f t="shared" ca="1" si="170"/>
        <v>0</v>
      </c>
      <c r="DZ19" s="16">
        <f t="shared" ca="1" si="170"/>
        <v>0</v>
      </c>
      <c r="EA19" s="16">
        <f t="shared" ca="1" si="170"/>
        <v>0</v>
      </c>
      <c r="EB19" s="18">
        <f t="shared" ca="1" si="170"/>
        <v>0</v>
      </c>
      <c r="EC19" s="19">
        <f t="shared" ca="1" si="171"/>
        <v>2</v>
      </c>
      <c r="ED19" s="16">
        <f t="shared" ca="1" si="171"/>
        <v>2</v>
      </c>
      <c r="EE19" s="16">
        <f t="shared" ca="1" si="171"/>
        <v>2</v>
      </c>
      <c r="EF19" s="16">
        <f t="shared" ca="1" si="171"/>
        <v>2</v>
      </c>
      <c r="EG19" s="16">
        <f t="shared" ca="1" si="172"/>
        <v>3</v>
      </c>
      <c r="EH19" s="16">
        <f t="shared" ca="1" si="172"/>
        <v>3</v>
      </c>
      <c r="EI19" s="16">
        <f t="shared" ca="1" si="172"/>
        <v>3</v>
      </c>
      <c r="EJ19" s="16">
        <f t="shared" ca="1" si="172"/>
        <v>3</v>
      </c>
      <c r="EK19" s="16">
        <f t="shared" ca="1" si="173"/>
        <v>2</v>
      </c>
      <c r="EL19" s="16">
        <f t="shared" ca="1" si="173"/>
        <v>2</v>
      </c>
      <c r="EM19" s="16">
        <f t="shared" ca="1" si="173"/>
        <v>2</v>
      </c>
      <c r="EN19" s="18">
        <f t="shared" ca="1" si="173"/>
        <v>2</v>
      </c>
      <c r="EO19" s="19">
        <f t="shared" ca="1" si="132"/>
        <v>0</v>
      </c>
      <c r="EP19" s="16">
        <f t="shared" ca="1" si="174"/>
        <v>0</v>
      </c>
      <c r="EQ19" s="16">
        <f t="shared" ca="1" si="174"/>
        <v>0</v>
      </c>
      <c r="ER19" s="16">
        <f t="shared" ca="1" si="174"/>
        <v>0</v>
      </c>
      <c r="ES19" s="16">
        <f t="shared" ca="1" si="175"/>
        <v>0</v>
      </c>
      <c r="ET19" s="16">
        <f t="shared" ca="1" si="175"/>
        <v>0</v>
      </c>
      <c r="EU19" s="16">
        <f t="shared" ca="1" si="175"/>
        <v>0</v>
      </c>
      <c r="EV19" s="16">
        <f t="shared" ca="1" si="175"/>
        <v>0</v>
      </c>
      <c r="EW19" s="16">
        <f t="shared" ca="1" si="133"/>
        <v>0</v>
      </c>
      <c r="EX19" s="16">
        <f t="shared" ca="1" si="133"/>
        <v>0</v>
      </c>
      <c r="EY19" s="16">
        <f t="shared" ca="1" si="133"/>
        <v>0</v>
      </c>
      <c r="EZ19" s="18">
        <f t="shared" ca="1" si="133"/>
        <v>0</v>
      </c>
      <c r="FA19" s="19">
        <f t="shared" ca="1" si="134"/>
        <v>0</v>
      </c>
      <c r="FB19" s="16">
        <f t="shared" ca="1" si="134"/>
        <v>0</v>
      </c>
      <c r="FC19" s="16">
        <f t="shared" ca="1" si="134"/>
        <v>0</v>
      </c>
      <c r="FD19" s="16">
        <f ca="1">$I$13</f>
        <v>0</v>
      </c>
      <c r="FE19" s="16">
        <f t="shared" ca="1" si="176"/>
        <v>0</v>
      </c>
      <c r="FF19" s="16">
        <f t="shared" ca="1" si="176"/>
        <v>0</v>
      </c>
      <c r="FG19" s="16">
        <f t="shared" ca="1" si="176"/>
        <v>0</v>
      </c>
      <c r="FH19" s="16">
        <f t="shared" ca="1" si="176"/>
        <v>0</v>
      </c>
      <c r="FI19" s="16">
        <f t="shared" ca="1" si="177"/>
        <v>0</v>
      </c>
      <c r="FJ19" s="16">
        <f t="shared" ca="1" si="177"/>
        <v>0</v>
      </c>
      <c r="FK19" s="16">
        <f t="shared" ca="1" si="135"/>
        <v>0</v>
      </c>
      <c r="FL19" s="18">
        <f t="shared" ca="1" si="135"/>
        <v>0</v>
      </c>
      <c r="FM19" s="19">
        <f t="shared" ca="1" si="178"/>
        <v>2</v>
      </c>
      <c r="FN19" s="16">
        <f t="shared" ca="1" si="178"/>
        <v>2</v>
      </c>
      <c r="FO19" s="16">
        <f t="shared" ca="1" si="178"/>
        <v>2</v>
      </c>
      <c r="FP19" s="16">
        <f t="shared" ca="1" si="178"/>
        <v>2</v>
      </c>
      <c r="FQ19" s="16">
        <f t="shared" ca="1" si="179"/>
        <v>3</v>
      </c>
      <c r="FR19" s="16">
        <f t="shared" ca="1" si="179"/>
        <v>3</v>
      </c>
      <c r="FS19" s="16">
        <f t="shared" ca="1" si="179"/>
        <v>3</v>
      </c>
      <c r="FT19" s="16">
        <f t="shared" ca="1" si="179"/>
        <v>3</v>
      </c>
      <c r="FU19" s="16">
        <f t="shared" ca="1" si="180"/>
        <v>2</v>
      </c>
      <c r="FV19" s="16">
        <f t="shared" ca="1" si="180"/>
        <v>2</v>
      </c>
      <c r="FW19" s="16">
        <f t="shared" ca="1" si="180"/>
        <v>2</v>
      </c>
      <c r="FX19" s="18">
        <f t="shared" ca="1" si="180"/>
        <v>2</v>
      </c>
      <c r="FY19" s="19">
        <f t="shared" ca="1" si="181"/>
        <v>0</v>
      </c>
      <c r="FZ19" s="16">
        <f t="shared" ca="1" si="181"/>
        <v>0</v>
      </c>
      <c r="GA19" s="16">
        <f t="shared" ca="1" si="181"/>
        <v>0</v>
      </c>
      <c r="GB19" s="16">
        <f t="shared" ca="1" si="181"/>
        <v>0</v>
      </c>
      <c r="GC19" s="16">
        <f t="shared" ca="1" si="182"/>
        <v>0</v>
      </c>
      <c r="GD19" s="16">
        <f t="shared" ca="1" si="182"/>
        <v>0</v>
      </c>
      <c r="GE19" s="16">
        <f t="shared" ca="1" si="182"/>
        <v>0</v>
      </c>
      <c r="GF19" s="16">
        <f t="shared" ca="1" si="182"/>
        <v>0</v>
      </c>
      <c r="GG19" s="16">
        <f t="shared" ca="1" si="183"/>
        <v>0</v>
      </c>
      <c r="GH19" s="16">
        <f t="shared" ca="1" si="183"/>
        <v>0</v>
      </c>
      <c r="GI19" s="16">
        <f t="shared" ca="1" si="183"/>
        <v>0</v>
      </c>
      <c r="GJ19" s="18">
        <f t="shared" ca="1" si="183"/>
        <v>0</v>
      </c>
      <c r="GK19" s="19">
        <f t="shared" ca="1" si="138"/>
        <v>0</v>
      </c>
      <c r="GL19" s="16">
        <f t="shared" ca="1" si="138"/>
        <v>0</v>
      </c>
      <c r="GM19" s="16">
        <f t="shared" ca="1" si="184"/>
        <v>0</v>
      </c>
      <c r="GN19" s="16">
        <f t="shared" ca="1" si="184"/>
        <v>0</v>
      </c>
      <c r="GO19" s="16">
        <f t="shared" ca="1" si="185"/>
        <v>0</v>
      </c>
      <c r="GP19" s="16">
        <f t="shared" ca="1" si="185"/>
        <v>0</v>
      </c>
      <c r="GQ19" s="16">
        <f t="shared" ca="1" si="185"/>
        <v>0</v>
      </c>
      <c r="GR19" s="16">
        <f t="shared" ca="1" si="185"/>
        <v>0</v>
      </c>
      <c r="GS19" s="16">
        <f ca="1">$I$6</f>
        <v>0</v>
      </c>
      <c r="GT19" s="16">
        <f t="shared" ca="1" si="139"/>
        <v>0</v>
      </c>
      <c r="GU19" s="16">
        <f t="shared" ca="1" si="139"/>
        <v>0</v>
      </c>
      <c r="GV19" s="18">
        <f t="shared" ca="1" si="139"/>
        <v>0</v>
      </c>
      <c r="GW19" s="19">
        <f t="shared" ca="1" si="140"/>
        <v>0</v>
      </c>
      <c r="GX19" s="16">
        <f t="shared" ca="1" si="140"/>
        <v>0</v>
      </c>
      <c r="GY19" s="16">
        <f t="shared" ca="1" si="140"/>
        <v>0</v>
      </c>
      <c r="GZ19" s="16">
        <f t="shared" ca="1" si="140"/>
        <v>0</v>
      </c>
      <c r="HA19" s="16">
        <f t="shared" ca="1" si="186"/>
        <v>0</v>
      </c>
      <c r="HB19" s="16">
        <f t="shared" ca="1" si="186"/>
        <v>0</v>
      </c>
      <c r="HC19" s="16">
        <f t="shared" ca="1" si="186"/>
        <v>0</v>
      </c>
      <c r="HD19" s="16">
        <f t="shared" ca="1" si="186"/>
        <v>0</v>
      </c>
      <c r="HE19" s="16">
        <f t="shared" ca="1" si="187"/>
        <v>0</v>
      </c>
      <c r="HF19" s="16">
        <f t="shared" ca="1" si="187"/>
        <v>0</v>
      </c>
      <c r="HG19" s="16">
        <f t="shared" ca="1" si="187"/>
        <v>0</v>
      </c>
      <c r="HH19" s="18">
        <f t="shared" ca="1" si="187"/>
        <v>0</v>
      </c>
      <c r="HI19" s="19">
        <f t="shared" ca="1" si="188"/>
        <v>2</v>
      </c>
      <c r="HJ19" s="16">
        <f t="shared" ca="1" si="188"/>
        <v>2</v>
      </c>
      <c r="HK19" s="16">
        <f t="shared" ca="1" si="188"/>
        <v>2</v>
      </c>
      <c r="HL19" s="16">
        <f t="shared" ca="1" si="188"/>
        <v>2</v>
      </c>
      <c r="HM19" s="16">
        <f t="shared" ca="1" si="189"/>
        <v>3</v>
      </c>
      <c r="HN19" s="16">
        <f t="shared" ca="1" si="189"/>
        <v>3</v>
      </c>
      <c r="HO19" s="16">
        <f t="shared" ca="1" si="189"/>
        <v>3</v>
      </c>
      <c r="HP19" s="16">
        <f t="shared" ca="1" si="189"/>
        <v>3</v>
      </c>
      <c r="HQ19" s="16">
        <f t="shared" ca="1" si="190"/>
        <v>2</v>
      </c>
      <c r="HR19" s="16">
        <f t="shared" ca="1" si="190"/>
        <v>2</v>
      </c>
      <c r="HS19" s="16">
        <f t="shared" ca="1" si="190"/>
        <v>2</v>
      </c>
      <c r="HT19" s="18">
        <f t="shared" ca="1" si="190"/>
        <v>2</v>
      </c>
      <c r="HU19" s="19">
        <f t="shared" ca="1" si="142"/>
        <v>0</v>
      </c>
      <c r="HV19" s="16">
        <f t="shared" ca="1" si="191"/>
        <v>0</v>
      </c>
      <c r="HW19" s="16">
        <f t="shared" ca="1" si="191"/>
        <v>0</v>
      </c>
      <c r="HX19" s="16">
        <f t="shared" ca="1" si="191"/>
        <v>0</v>
      </c>
      <c r="HY19" s="16">
        <f t="shared" ca="1" si="192"/>
        <v>0</v>
      </c>
      <c r="HZ19" s="16">
        <f t="shared" ca="1" si="192"/>
        <v>0</v>
      </c>
      <c r="IA19" s="16">
        <f t="shared" ca="1" si="192"/>
        <v>0</v>
      </c>
      <c r="IB19" s="16">
        <f t="shared" ca="1" si="192"/>
        <v>0</v>
      </c>
      <c r="IC19" s="16">
        <f t="shared" ca="1" si="143"/>
        <v>0</v>
      </c>
      <c r="ID19" s="16">
        <f t="shared" ca="1" si="143"/>
        <v>0</v>
      </c>
      <c r="IE19" s="16">
        <f t="shared" ca="1" si="143"/>
        <v>0</v>
      </c>
      <c r="IF19" s="18">
        <f t="shared" ca="1" si="143"/>
        <v>0</v>
      </c>
      <c r="IG19" s="19">
        <f t="shared" ca="1" si="144"/>
        <v>0</v>
      </c>
      <c r="IH19" s="16">
        <f t="shared" ca="1" si="144"/>
        <v>0</v>
      </c>
      <c r="II19" s="16">
        <f t="shared" ca="1" si="144"/>
        <v>0</v>
      </c>
      <c r="IJ19" s="16">
        <f ca="1">$I$13</f>
        <v>0</v>
      </c>
      <c r="IK19" s="16">
        <f t="shared" ca="1" si="193"/>
        <v>0</v>
      </c>
      <c r="IL19" s="16">
        <f t="shared" ca="1" si="193"/>
        <v>0</v>
      </c>
      <c r="IM19" s="16">
        <f t="shared" ca="1" si="193"/>
        <v>0</v>
      </c>
      <c r="IN19" s="16">
        <f t="shared" ca="1" si="193"/>
        <v>0</v>
      </c>
      <c r="IO19" s="16">
        <f t="shared" ca="1" si="194"/>
        <v>0</v>
      </c>
      <c r="IP19" s="16">
        <f t="shared" ca="1" si="194"/>
        <v>0</v>
      </c>
      <c r="IQ19" s="16">
        <f t="shared" ca="1" si="145"/>
        <v>0</v>
      </c>
      <c r="IR19" s="18">
        <f t="shared" ca="1" si="145"/>
        <v>0</v>
      </c>
      <c r="IS19" s="19">
        <f t="shared" ca="1" si="195"/>
        <v>2</v>
      </c>
      <c r="IT19" s="16">
        <f t="shared" ca="1" si="195"/>
        <v>2</v>
      </c>
      <c r="IU19" s="16">
        <f t="shared" ca="1" si="195"/>
        <v>2</v>
      </c>
      <c r="IV19" s="16">
        <f t="shared" ca="1" si="195"/>
        <v>2</v>
      </c>
      <c r="IW19" s="16">
        <f t="shared" ca="1" si="196"/>
        <v>3</v>
      </c>
      <c r="IX19" s="16">
        <f t="shared" ca="1" si="196"/>
        <v>3</v>
      </c>
      <c r="IY19" s="16">
        <f t="shared" ca="1" si="196"/>
        <v>3</v>
      </c>
      <c r="IZ19" s="16">
        <f t="shared" ca="1" si="196"/>
        <v>3</v>
      </c>
      <c r="JA19" s="16">
        <f t="shared" ca="1" si="197"/>
        <v>2</v>
      </c>
      <c r="JB19" s="16">
        <f t="shared" ca="1" si="197"/>
        <v>2</v>
      </c>
      <c r="JC19" s="16">
        <f t="shared" ca="1" si="197"/>
        <v>2</v>
      </c>
      <c r="JD19" s="18">
        <f t="shared" ca="1" si="197"/>
        <v>2</v>
      </c>
    </row>
    <row r="20" spans="1:264" x14ac:dyDescent="0.4">
      <c r="A20" s="2"/>
      <c r="B20" s="2"/>
      <c r="C20" s="2"/>
      <c r="D20" s="2"/>
      <c r="E20" s="2"/>
      <c r="F20" s="2"/>
      <c r="G20" s="2"/>
      <c r="H20" s="2"/>
      <c r="I20" s="2"/>
      <c r="J20" s="2"/>
      <c r="M20" s="19">
        <f t="shared" ca="1" si="147"/>
        <v>0</v>
      </c>
      <c r="N20" s="16">
        <f t="shared" ca="1" si="147"/>
        <v>0</v>
      </c>
      <c r="O20" s="16">
        <f t="shared" ca="1" si="147"/>
        <v>0</v>
      </c>
      <c r="P20" s="16">
        <f t="shared" ca="1" si="147"/>
        <v>0</v>
      </c>
      <c r="Q20" s="16">
        <f t="shared" ref="Q20:T22" ca="1" si="198">$I$4</f>
        <v>0</v>
      </c>
      <c r="R20" s="16">
        <f t="shared" ca="1" si="198"/>
        <v>0</v>
      </c>
      <c r="S20" s="16">
        <f t="shared" ca="1" si="198"/>
        <v>0</v>
      </c>
      <c r="T20" s="16">
        <f t="shared" ca="1" si="198"/>
        <v>0</v>
      </c>
      <c r="U20" s="16">
        <f t="shared" ca="1" si="149"/>
        <v>0</v>
      </c>
      <c r="V20" s="16">
        <f t="shared" ca="1" si="149"/>
        <v>0</v>
      </c>
      <c r="W20" s="16">
        <f t="shared" ca="1" si="149"/>
        <v>0</v>
      </c>
      <c r="X20" s="18">
        <f t="shared" ca="1" si="149"/>
        <v>0</v>
      </c>
      <c r="Y20" s="19">
        <f t="shared" ca="1" si="118"/>
        <v>0</v>
      </c>
      <c r="Z20" s="16">
        <f t="shared" ca="1" si="118"/>
        <v>0</v>
      </c>
      <c r="AA20" s="16">
        <f t="shared" ca="1" si="150"/>
        <v>0</v>
      </c>
      <c r="AB20" s="16">
        <f t="shared" ca="1" si="150"/>
        <v>0</v>
      </c>
      <c r="AC20" s="16">
        <f t="shared" ref="AC20:AF22" ca="1" si="199">$I$6</f>
        <v>0</v>
      </c>
      <c r="AD20" s="16">
        <f t="shared" ca="1" si="199"/>
        <v>0</v>
      </c>
      <c r="AE20" s="16">
        <f t="shared" ca="1" si="199"/>
        <v>0</v>
      </c>
      <c r="AF20" s="16">
        <f t="shared" ca="1" si="199"/>
        <v>0</v>
      </c>
      <c r="AG20" s="16">
        <f ca="1">$I$6</f>
        <v>0</v>
      </c>
      <c r="AH20" s="16">
        <f t="shared" ca="1" si="119"/>
        <v>0</v>
      </c>
      <c r="AI20" s="16">
        <f t="shared" ca="1" si="119"/>
        <v>0</v>
      </c>
      <c r="AJ20" s="18">
        <f t="shared" ca="1" si="119"/>
        <v>0</v>
      </c>
      <c r="AK20" s="19">
        <f t="shared" ca="1" si="120"/>
        <v>0</v>
      </c>
      <c r="AL20" s="16">
        <f t="shared" ca="1" si="120"/>
        <v>0</v>
      </c>
      <c r="AM20" s="16">
        <f t="shared" ca="1" si="120"/>
        <v>0</v>
      </c>
      <c r="AN20" s="16">
        <f t="shared" ca="1" si="120"/>
        <v>0</v>
      </c>
      <c r="AO20" s="16">
        <f t="shared" ref="AO20:AR22" ca="1" si="200">$I$8</f>
        <v>0</v>
      </c>
      <c r="AP20" s="16">
        <f t="shared" ca="1" si="200"/>
        <v>0</v>
      </c>
      <c r="AQ20" s="16">
        <f t="shared" ca="1" si="200"/>
        <v>0</v>
      </c>
      <c r="AR20" s="16">
        <f t="shared" ca="1" si="200"/>
        <v>0</v>
      </c>
      <c r="AS20" s="16">
        <f t="shared" ca="1" si="153"/>
        <v>0</v>
      </c>
      <c r="AT20" s="16">
        <f t="shared" ca="1" si="153"/>
        <v>0</v>
      </c>
      <c r="AU20" s="16">
        <f t="shared" ca="1" si="153"/>
        <v>0</v>
      </c>
      <c r="AV20" s="18">
        <f t="shared" ca="1" si="153"/>
        <v>0</v>
      </c>
      <c r="AW20" s="19">
        <f t="shared" ca="1" si="154"/>
        <v>2</v>
      </c>
      <c r="AX20" s="16">
        <f t="shared" ca="1" si="154"/>
        <v>2</v>
      </c>
      <c r="AY20" s="16">
        <f t="shared" ca="1" si="154"/>
        <v>2</v>
      </c>
      <c r="AZ20" s="16">
        <f t="shared" ca="1" si="154"/>
        <v>2</v>
      </c>
      <c r="BA20" s="16">
        <f t="shared" ref="BA20:BD22" ca="1" si="201">$I$9</f>
        <v>2</v>
      </c>
      <c r="BB20" s="16">
        <f t="shared" ca="1" si="201"/>
        <v>2</v>
      </c>
      <c r="BC20" s="16">
        <f t="shared" ca="1" si="201"/>
        <v>2</v>
      </c>
      <c r="BD20" s="16">
        <f t="shared" ca="1" si="201"/>
        <v>2</v>
      </c>
      <c r="BE20" s="16">
        <f t="shared" ca="1" si="156"/>
        <v>2</v>
      </c>
      <c r="BF20" s="16">
        <f t="shared" ca="1" si="156"/>
        <v>2</v>
      </c>
      <c r="BG20" s="16">
        <f t="shared" ca="1" si="156"/>
        <v>2</v>
      </c>
      <c r="BH20" s="18">
        <f t="shared" ca="1" si="156"/>
        <v>2</v>
      </c>
      <c r="BI20" s="19">
        <f t="shared" ca="1" si="122"/>
        <v>0</v>
      </c>
      <c r="BJ20" s="16">
        <f t="shared" ca="1" si="157"/>
        <v>0</v>
      </c>
      <c r="BK20" s="16">
        <f t="shared" ca="1" si="157"/>
        <v>0</v>
      </c>
      <c r="BL20" s="16">
        <f t="shared" ca="1" si="157"/>
        <v>0</v>
      </c>
      <c r="BM20" s="16">
        <f t="shared" ref="BM20:BP22" ca="1" si="202">$I$11</f>
        <v>0</v>
      </c>
      <c r="BN20" s="16">
        <f t="shared" ca="1" si="202"/>
        <v>0</v>
      </c>
      <c r="BO20" s="16">
        <f t="shared" ca="1" si="202"/>
        <v>0</v>
      </c>
      <c r="BP20" s="16">
        <f t="shared" ca="1" si="202"/>
        <v>0</v>
      </c>
      <c r="BQ20" s="16">
        <f t="shared" ca="1" si="123"/>
        <v>0</v>
      </c>
      <c r="BR20" s="16">
        <f t="shared" ca="1" si="123"/>
        <v>0</v>
      </c>
      <c r="BS20" s="16">
        <f t="shared" ca="1" si="123"/>
        <v>0</v>
      </c>
      <c r="BT20" s="18">
        <f t="shared" ca="1" si="123"/>
        <v>0</v>
      </c>
      <c r="BU20" s="19">
        <f t="shared" ca="1" si="124"/>
        <v>0</v>
      </c>
      <c r="BV20" s="16">
        <f t="shared" ca="1" si="124"/>
        <v>0</v>
      </c>
      <c r="BW20" s="16">
        <f t="shared" ca="1" si="124"/>
        <v>0</v>
      </c>
      <c r="BX20" s="16">
        <f ca="1">$I$13</f>
        <v>0</v>
      </c>
      <c r="BY20" s="16">
        <f t="shared" ref="BY20:CB22" ca="1" si="203">$I$13</f>
        <v>0</v>
      </c>
      <c r="BZ20" s="16">
        <f t="shared" ca="1" si="203"/>
        <v>0</v>
      </c>
      <c r="CA20" s="16">
        <f t="shared" ca="1" si="203"/>
        <v>0</v>
      </c>
      <c r="CB20" s="16">
        <f t="shared" ca="1" si="203"/>
        <v>0</v>
      </c>
      <c r="CC20" s="16">
        <f t="shared" ca="1" si="160"/>
        <v>0</v>
      </c>
      <c r="CD20" s="16">
        <f t="shared" ca="1" si="160"/>
        <v>0</v>
      </c>
      <c r="CE20" s="16">
        <f t="shared" ca="1" si="125"/>
        <v>0</v>
      </c>
      <c r="CF20" s="18">
        <f t="shared" ca="1" si="125"/>
        <v>0</v>
      </c>
      <c r="CG20" s="19">
        <f t="shared" ca="1" si="161"/>
        <v>2</v>
      </c>
      <c r="CH20" s="16">
        <f t="shared" ca="1" si="161"/>
        <v>2</v>
      </c>
      <c r="CI20" s="16">
        <f t="shared" ca="1" si="161"/>
        <v>2</v>
      </c>
      <c r="CJ20" s="16">
        <f t="shared" ca="1" si="161"/>
        <v>2</v>
      </c>
      <c r="CK20" s="16">
        <f t="shared" ref="CK20:CN22" ca="1" si="204">$I$15</f>
        <v>2</v>
      </c>
      <c r="CL20" s="16">
        <f t="shared" ca="1" si="204"/>
        <v>2</v>
      </c>
      <c r="CM20" s="16">
        <f t="shared" ca="1" si="204"/>
        <v>2</v>
      </c>
      <c r="CN20" s="16">
        <f t="shared" ca="1" si="204"/>
        <v>2</v>
      </c>
      <c r="CO20" s="16">
        <f t="shared" ca="1" si="163"/>
        <v>2</v>
      </c>
      <c r="CP20" s="16">
        <f t="shared" ca="1" si="163"/>
        <v>2</v>
      </c>
      <c r="CQ20" s="16">
        <f t="shared" ca="1" si="163"/>
        <v>2</v>
      </c>
      <c r="CR20" s="18">
        <f t="shared" ca="1" si="163"/>
        <v>2</v>
      </c>
      <c r="CS20" s="19">
        <f t="shared" ca="1" si="164"/>
        <v>0</v>
      </c>
      <c r="CT20" s="16">
        <f t="shared" ca="1" si="164"/>
        <v>0</v>
      </c>
      <c r="CU20" s="16">
        <f t="shared" ca="1" si="164"/>
        <v>0</v>
      </c>
      <c r="CV20" s="16">
        <f t="shared" ca="1" si="164"/>
        <v>0</v>
      </c>
      <c r="CW20" s="16">
        <f t="shared" ref="CW20:CZ22" ca="1" si="205">$I$4</f>
        <v>0</v>
      </c>
      <c r="CX20" s="16">
        <f t="shared" ca="1" si="205"/>
        <v>0</v>
      </c>
      <c r="CY20" s="16">
        <f t="shared" ca="1" si="205"/>
        <v>0</v>
      </c>
      <c r="CZ20" s="16">
        <f t="shared" ca="1" si="205"/>
        <v>0</v>
      </c>
      <c r="DA20" s="16">
        <f t="shared" ca="1" si="166"/>
        <v>0</v>
      </c>
      <c r="DB20" s="16">
        <f t="shared" ca="1" si="166"/>
        <v>0</v>
      </c>
      <c r="DC20" s="16">
        <f t="shared" ca="1" si="166"/>
        <v>0</v>
      </c>
      <c r="DD20" s="18">
        <f t="shared" ca="1" si="166"/>
        <v>0</v>
      </c>
      <c r="DE20" s="19">
        <f t="shared" ca="1" si="128"/>
        <v>0</v>
      </c>
      <c r="DF20" s="16">
        <f t="shared" ca="1" si="128"/>
        <v>0</v>
      </c>
      <c r="DG20" s="16">
        <f t="shared" ca="1" si="167"/>
        <v>0</v>
      </c>
      <c r="DH20" s="16">
        <f t="shared" ca="1" si="167"/>
        <v>0</v>
      </c>
      <c r="DI20" s="16">
        <f t="shared" ref="DI20:DL22" ca="1" si="206">$I$6</f>
        <v>0</v>
      </c>
      <c r="DJ20" s="16">
        <f t="shared" ca="1" si="206"/>
        <v>0</v>
      </c>
      <c r="DK20" s="16">
        <f t="shared" ca="1" si="206"/>
        <v>0</v>
      </c>
      <c r="DL20" s="16">
        <f t="shared" ca="1" si="206"/>
        <v>0</v>
      </c>
      <c r="DM20" s="16">
        <f ca="1">$I$6</f>
        <v>0</v>
      </c>
      <c r="DN20" s="16">
        <f t="shared" ca="1" si="129"/>
        <v>0</v>
      </c>
      <c r="DO20" s="16">
        <f t="shared" ca="1" si="129"/>
        <v>0</v>
      </c>
      <c r="DP20" s="18">
        <f t="shared" ca="1" si="129"/>
        <v>0</v>
      </c>
      <c r="DQ20" s="19">
        <f t="shared" ca="1" si="130"/>
        <v>0</v>
      </c>
      <c r="DR20" s="16">
        <f t="shared" ca="1" si="130"/>
        <v>0</v>
      </c>
      <c r="DS20" s="16">
        <f t="shared" ca="1" si="130"/>
        <v>0</v>
      </c>
      <c r="DT20" s="16">
        <f t="shared" ca="1" si="130"/>
        <v>0</v>
      </c>
      <c r="DU20" s="16">
        <f t="shared" ref="DU20:DX22" ca="1" si="207">$I$8</f>
        <v>0</v>
      </c>
      <c r="DV20" s="16">
        <f t="shared" ca="1" si="207"/>
        <v>0</v>
      </c>
      <c r="DW20" s="16">
        <f t="shared" ca="1" si="207"/>
        <v>0</v>
      </c>
      <c r="DX20" s="16">
        <f t="shared" ca="1" si="207"/>
        <v>0</v>
      </c>
      <c r="DY20" s="16">
        <f t="shared" ca="1" si="170"/>
        <v>0</v>
      </c>
      <c r="DZ20" s="16">
        <f t="shared" ca="1" si="170"/>
        <v>0</v>
      </c>
      <c r="EA20" s="16">
        <f t="shared" ca="1" si="170"/>
        <v>0</v>
      </c>
      <c r="EB20" s="18">
        <f t="shared" ca="1" si="170"/>
        <v>0</v>
      </c>
      <c r="EC20" s="19">
        <f t="shared" ca="1" si="171"/>
        <v>2</v>
      </c>
      <c r="ED20" s="16">
        <f t="shared" ca="1" si="171"/>
        <v>2</v>
      </c>
      <c r="EE20" s="16">
        <f t="shared" ca="1" si="171"/>
        <v>2</v>
      </c>
      <c r="EF20" s="16">
        <f t="shared" ca="1" si="171"/>
        <v>2</v>
      </c>
      <c r="EG20" s="16">
        <f t="shared" ref="EG20:EJ22" ca="1" si="208">$I$9</f>
        <v>2</v>
      </c>
      <c r="EH20" s="16">
        <f t="shared" ca="1" si="208"/>
        <v>2</v>
      </c>
      <c r="EI20" s="16">
        <f t="shared" ca="1" si="208"/>
        <v>2</v>
      </c>
      <c r="EJ20" s="16">
        <f t="shared" ca="1" si="208"/>
        <v>2</v>
      </c>
      <c r="EK20" s="16">
        <f t="shared" ca="1" si="173"/>
        <v>2</v>
      </c>
      <c r="EL20" s="16">
        <f t="shared" ca="1" si="173"/>
        <v>2</v>
      </c>
      <c r="EM20" s="16">
        <f t="shared" ca="1" si="173"/>
        <v>2</v>
      </c>
      <c r="EN20" s="18">
        <f t="shared" ca="1" si="173"/>
        <v>2</v>
      </c>
      <c r="EO20" s="19">
        <f t="shared" ca="1" si="132"/>
        <v>0</v>
      </c>
      <c r="EP20" s="16">
        <f t="shared" ca="1" si="174"/>
        <v>0</v>
      </c>
      <c r="EQ20" s="16">
        <f t="shared" ca="1" si="174"/>
        <v>0</v>
      </c>
      <c r="ER20" s="16">
        <f t="shared" ca="1" si="174"/>
        <v>0</v>
      </c>
      <c r="ES20" s="16">
        <f t="shared" ref="ES20:EV22" ca="1" si="209">$I$11</f>
        <v>0</v>
      </c>
      <c r="ET20" s="16">
        <f t="shared" ca="1" si="209"/>
        <v>0</v>
      </c>
      <c r="EU20" s="16">
        <f t="shared" ca="1" si="209"/>
        <v>0</v>
      </c>
      <c r="EV20" s="16">
        <f t="shared" ca="1" si="209"/>
        <v>0</v>
      </c>
      <c r="EW20" s="16">
        <f t="shared" ca="1" si="133"/>
        <v>0</v>
      </c>
      <c r="EX20" s="16">
        <f t="shared" ca="1" si="133"/>
        <v>0</v>
      </c>
      <c r="EY20" s="16">
        <f t="shared" ca="1" si="133"/>
        <v>0</v>
      </c>
      <c r="EZ20" s="18">
        <f t="shared" ca="1" si="133"/>
        <v>0</v>
      </c>
      <c r="FA20" s="19">
        <f t="shared" ca="1" si="134"/>
        <v>0</v>
      </c>
      <c r="FB20" s="16">
        <f t="shared" ca="1" si="134"/>
        <v>0</v>
      </c>
      <c r="FC20" s="16">
        <f t="shared" ca="1" si="134"/>
        <v>0</v>
      </c>
      <c r="FD20" s="16">
        <f ca="1">$I$13</f>
        <v>0</v>
      </c>
      <c r="FE20" s="16">
        <f t="shared" ref="FE20:FH22" ca="1" si="210">$I$13</f>
        <v>0</v>
      </c>
      <c r="FF20" s="16">
        <f t="shared" ca="1" si="210"/>
        <v>0</v>
      </c>
      <c r="FG20" s="16">
        <f t="shared" ca="1" si="210"/>
        <v>0</v>
      </c>
      <c r="FH20" s="16">
        <f t="shared" ca="1" si="210"/>
        <v>0</v>
      </c>
      <c r="FI20" s="16">
        <f t="shared" ca="1" si="177"/>
        <v>0</v>
      </c>
      <c r="FJ20" s="16">
        <f t="shared" ca="1" si="177"/>
        <v>0</v>
      </c>
      <c r="FK20" s="16">
        <f t="shared" ca="1" si="135"/>
        <v>0</v>
      </c>
      <c r="FL20" s="18">
        <f t="shared" ca="1" si="135"/>
        <v>0</v>
      </c>
      <c r="FM20" s="19">
        <f t="shared" ca="1" si="178"/>
        <v>2</v>
      </c>
      <c r="FN20" s="16">
        <f t="shared" ca="1" si="178"/>
        <v>2</v>
      </c>
      <c r="FO20" s="16">
        <f t="shared" ca="1" si="178"/>
        <v>2</v>
      </c>
      <c r="FP20" s="16">
        <f t="shared" ca="1" si="178"/>
        <v>2</v>
      </c>
      <c r="FQ20" s="16">
        <f t="shared" ref="FQ20:FT22" ca="1" si="211">$I$15</f>
        <v>2</v>
      </c>
      <c r="FR20" s="16">
        <f t="shared" ca="1" si="211"/>
        <v>2</v>
      </c>
      <c r="FS20" s="16">
        <f t="shared" ca="1" si="211"/>
        <v>2</v>
      </c>
      <c r="FT20" s="16">
        <f t="shared" ca="1" si="211"/>
        <v>2</v>
      </c>
      <c r="FU20" s="16">
        <f t="shared" ca="1" si="180"/>
        <v>2</v>
      </c>
      <c r="FV20" s="16">
        <f t="shared" ca="1" si="180"/>
        <v>2</v>
      </c>
      <c r="FW20" s="16">
        <f t="shared" ca="1" si="180"/>
        <v>2</v>
      </c>
      <c r="FX20" s="18">
        <f t="shared" ca="1" si="180"/>
        <v>2</v>
      </c>
      <c r="FY20" s="19">
        <f t="shared" ca="1" si="181"/>
        <v>0</v>
      </c>
      <c r="FZ20" s="16">
        <f t="shared" ca="1" si="181"/>
        <v>0</v>
      </c>
      <c r="GA20" s="16">
        <f t="shared" ca="1" si="181"/>
        <v>0</v>
      </c>
      <c r="GB20" s="16">
        <f t="shared" ca="1" si="181"/>
        <v>0</v>
      </c>
      <c r="GC20" s="16">
        <f t="shared" ref="GC20:GF22" ca="1" si="212">$I$4</f>
        <v>0</v>
      </c>
      <c r="GD20" s="16">
        <f t="shared" ca="1" si="212"/>
        <v>0</v>
      </c>
      <c r="GE20" s="16">
        <f t="shared" ca="1" si="212"/>
        <v>0</v>
      </c>
      <c r="GF20" s="16">
        <f t="shared" ca="1" si="212"/>
        <v>0</v>
      </c>
      <c r="GG20" s="16">
        <f t="shared" ca="1" si="183"/>
        <v>0</v>
      </c>
      <c r="GH20" s="16">
        <f t="shared" ca="1" si="183"/>
        <v>0</v>
      </c>
      <c r="GI20" s="16">
        <f t="shared" ca="1" si="183"/>
        <v>0</v>
      </c>
      <c r="GJ20" s="18">
        <f t="shared" ca="1" si="183"/>
        <v>0</v>
      </c>
      <c r="GK20" s="19">
        <f t="shared" ca="1" si="138"/>
        <v>0</v>
      </c>
      <c r="GL20" s="16">
        <f t="shared" ca="1" si="138"/>
        <v>0</v>
      </c>
      <c r="GM20" s="16">
        <f t="shared" ca="1" si="184"/>
        <v>0</v>
      </c>
      <c r="GN20" s="16">
        <f t="shared" ca="1" si="184"/>
        <v>0</v>
      </c>
      <c r="GO20" s="16">
        <f t="shared" ref="GO20:GR22" ca="1" si="213">$I$6</f>
        <v>0</v>
      </c>
      <c r="GP20" s="16">
        <f t="shared" ca="1" si="213"/>
        <v>0</v>
      </c>
      <c r="GQ20" s="16">
        <f t="shared" ca="1" si="213"/>
        <v>0</v>
      </c>
      <c r="GR20" s="16">
        <f t="shared" ca="1" si="213"/>
        <v>0</v>
      </c>
      <c r="GS20" s="16">
        <f ca="1">$I$6</f>
        <v>0</v>
      </c>
      <c r="GT20" s="16">
        <f t="shared" ca="1" si="139"/>
        <v>0</v>
      </c>
      <c r="GU20" s="16">
        <f t="shared" ca="1" si="139"/>
        <v>0</v>
      </c>
      <c r="GV20" s="18">
        <f t="shared" ca="1" si="139"/>
        <v>0</v>
      </c>
      <c r="GW20" s="19">
        <f t="shared" ca="1" si="140"/>
        <v>0</v>
      </c>
      <c r="GX20" s="16">
        <f t="shared" ca="1" si="140"/>
        <v>0</v>
      </c>
      <c r="GY20" s="16">
        <f t="shared" ca="1" si="140"/>
        <v>0</v>
      </c>
      <c r="GZ20" s="16">
        <f t="shared" ca="1" si="140"/>
        <v>0</v>
      </c>
      <c r="HA20" s="16">
        <f t="shared" ref="HA20:HD22" ca="1" si="214">$I$8</f>
        <v>0</v>
      </c>
      <c r="HB20" s="16">
        <f t="shared" ca="1" si="214"/>
        <v>0</v>
      </c>
      <c r="HC20" s="16">
        <f t="shared" ca="1" si="214"/>
        <v>0</v>
      </c>
      <c r="HD20" s="16">
        <f t="shared" ca="1" si="214"/>
        <v>0</v>
      </c>
      <c r="HE20" s="16">
        <f t="shared" ca="1" si="187"/>
        <v>0</v>
      </c>
      <c r="HF20" s="16">
        <f t="shared" ca="1" si="187"/>
        <v>0</v>
      </c>
      <c r="HG20" s="16">
        <f t="shared" ca="1" si="187"/>
        <v>0</v>
      </c>
      <c r="HH20" s="18">
        <f t="shared" ca="1" si="187"/>
        <v>0</v>
      </c>
      <c r="HI20" s="19">
        <f t="shared" ca="1" si="188"/>
        <v>2</v>
      </c>
      <c r="HJ20" s="16">
        <f t="shared" ca="1" si="188"/>
        <v>2</v>
      </c>
      <c r="HK20" s="16">
        <f t="shared" ca="1" si="188"/>
        <v>2</v>
      </c>
      <c r="HL20" s="16">
        <f t="shared" ca="1" si="188"/>
        <v>2</v>
      </c>
      <c r="HM20" s="16">
        <f t="shared" ref="HM20:HP22" ca="1" si="215">$I$9</f>
        <v>2</v>
      </c>
      <c r="HN20" s="16">
        <f t="shared" ca="1" si="215"/>
        <v>2</v>
      </c>
      <c r="HO20" s="16">
        <f t="shared" ca="1" si="215"/>
        <v>2</v>
      </c>
      <c r="HP20" s="16">
        <f t="shared" ca="1" si="215"/>
        <v>2</v>
      </c>
      <c r="HQ20" s="16">
        <f t="shared" ca="1" si="190"/>
        <v>2</v>
      </c>
      <c r="HR20" s="16">
        <f t="shared" ca="1" si="190"/>
        <v>2</v>
      </c>
      <c r="HS20" s="16">
        <f t="shared" ca="1" si="190"/>
        <v>2</v>
      </c>
      <c r="HT20" s="18">
        <f t="shared" ca="1" si="190"/>
        <v>2</v>
      </c>
      <c r="HU20" s="19">
        <f t="shared" ca="1" si="142"/>
        <v>0</v>
      </c>
      <c r="HV20" s="16">
        <f t="shared" ca="1" si="191"/>
        <v>0</v>
      </c>
      <c r="HW20" s="16">
        <f t="shared" ca="1" si="191"/>
        <v>0</v>
      </c>
      <c r="HX20" s="16">
        <f t="shared" ca="1" si="191"/>
        <v>0</v>
      </c>
      <c r="HY20" s="16">
        <f t="shared" ref="HY20:IB22" ca="1" si="216">$I$11</f>
        <v>0</v>
      </c>
      <c r="HZ20" s="16">
        <f t="shared" ca="1" si="216"/>
        <v>0</v>
      </c>
      <c r="IA20" s="16">
        <f t="shared" ca="1" si="216"/>
        <v>0</v>
      </c>
      <c r="IB20" s="16">
        <f t="shared" ca="1" si="216"/>
        <v>0</v>
      </c>
      <c r="IC20" s="16">
        <f t="shared" ca="1" si="143"/>
        <v>0</v>
      </c>
      <c r="ID20" s="16">
        <f t="shared" ca="1" si="143"/>
        <v>0</v>
      </c>
      <c r="IE20" s="16">
        <f t="shared" ca="1" si="143"/>
        <v>0</v>
      </c>
      <c r="IF20" s="18">
        <f t="shared" ca="1" si="143"/>
        <v>0</v>
      </c>
      <c r="IG20" s="19">
        <f t="shared" ca="1" si="144"/>
        <v>0</v>
      </c>
      <c r="IH20" s="16">
        <f t="shared" ca="1" si="144"/>
        <v>0</v>
      </c>
      <c r="II20" s="16">
        <f t="shared" ca="1" si="144"/>
        <v>0</v>
      </c>
      <c r="IJ20" s="16">
        <f ca="1">$I$13</f>
        <v>0</v>
      </c>
      <c r="IK20" s="16">
        <f t="shared" ref="IK20:IN22" ca="1" si="217">$I$13</f>
        <v>0</v>
      </c>
      <c r="IL20" s="16">
        <f t="shared" ca="1" si="217"/>
        <v>0</v>
      </c>
      <c r="IM20" s="16">
        <f t="shared" ca="1" si="217"/>
        <v>0</v>
      </c>
      <c r="IN20" s="16">
        <f t="shared" ca="1" si="217"/>
        <v>0</v>
      </c>
      <c r="IO20" s="16">
        <f t="shared" ca="1" si="194"/>
        <v>0</v>
      </c>
      <c r="IP20" s="16">
        <f t="shared" ca="1" si="194"/>
        <v>0</v>
      </c>
      <c r="IQ20" s="16">
        <f t="shared" ca="1" si="145"/>
        <v>0</v>
      </c>
      <c r="IR20" s="18">
        <f t="shared" ca="1" si="145"/>
        <v>0</v>
      </c>
      <c r="IS20" s="19">
        <f t="shared" ca="1" si="195"/>
        <v>2</v>
      </c>
      <c r="IT20" s="16">
        <f t="shared" ca="1" si="195"/>
        <v>2</v>
      </c>
      <c r="IU20" s="16">
        <f t="shared" ca="1" si="195"/>
        <v>2</v>
      </c>
      <c r="IV20" s="16">
        <f t="shared" ca="1" si="195"/>
        <v>2</v>
      </c>
      <c r="IW20" s="16">
        <f t="shared" ref="IW20:IZ22" ca="1" si="218">$I$15</f>
        <v>2</v>
      </c>
      <c r="IX20" s="16">
        <f t="shared" ca="1" si="218"/>
        <v>2</v>
      </c>
      <c r="IY20" s="16">
        <f t="shared" ca="1" si="218"/>
        <v>2</v>
      </c>
      <c r="IZ20" s="16">
        <f t="shared" ca="1" si="218"/>
        <v>2</v>
      </c>
      <c r="JA20" s="16">
        <f t="shared" ca="1" si="197"/>
        <v>2</v>
      </c>
      <c r="JB20" s="16">
        <f t="shared" ca="1" si="197"/>
        <v>2</v>
      </c>
      <c r="JC20" s="16">
        <f t="shared" ca="1" si="197"/>
        <v>2</v>
      </c>
      <c r="JD20" s="18">
        <f t="shared" ca="1" si="197"/>
        <v>2</v>
      </c>
    </row>
    <row r="21" spans="1:264" x14ac:dyDescent="0.4">
      <c r="A21" s="2"/>
      <c r="B21" s="2"/>
      <c r="C21" s="2"/>
      <c r="D21" s="2"/>
      <c r="E21" s="2"/>
      <c r="F21" s="2"/>
      <c r="G21" s="2"/>
      <c r="H21" s="2"/>
      <c r="I21" s="2"/>
      <c r="J21" s="2"/>
      <c r="M21" s="19">
        <f t="shared" ca="1" si="147"/>
        <v>0</v>
      </c>
      <c r="N21" s="16">
        <f t="shared" ca="1" si="147"/>
        <v>0</v>
      </c>
      <c r="O21" s="16">
        <f t="shared" ca="1" si="147"/>
        <v>0</v>
      </c>
      <c r="P21" s="16">
        <f t="shared" ca="1" si="147"/>
        <v>0</v>
      </c>
      <c r="Q21" s="16">
        <f t="shared" ca="1" si="198"/>
        <v>0</v>
      </c>
      <c r="R21" s="16">
        <f t="shared" ca="1" si="198"/>
        <v>0</v>
      </c>
      <c r="S21" s="16">
        <f t="shared" ca="1" si="198"/>
        <v>0</v>
      </c>
      <c r="T21" s="16">
        <f t="shared" ca="1" si="198"/>
        <v>0</v>
      </c>
      <c r="U21" s="16">
        <f t="shared" ca="1" si="149"/>
        <v>0</v>
      </c>
      <c r="V21" s="16">
        <f t="shared" ca="1" si="149"/>
        <v>0</v>
      </c>
      <c r="W21" s="16">
        <f t="shared" ca="1" si="149"/>
        <v>0</v>
      </c>
      <c r="X21" s="18">
        <f t="shared" ca="1" si="149"/>
        <v>0</v>
      </c>
      <c r="Y21" s="19">
        <f t="shared" ca="1" si="118"/>
        <v>0</v>
      </c>
      <c r="Z21" s="16">
        <f t="shared" ca="1" si="118"/>
        <v>0</v>
      </c>
      <c r="AA21" s="16">
        <f t="shared" ca="1" si="150"/>
        <v>0</v>
      </c>
      <c r="AB21" s="16">
        <f t="shared" ca="1" si="150"/>
        <v>0</v>
      </c>
      <c r="AC21" s="16">
        <f t="shared" ca="1" si="199"/>
        <v>0</v>
      </c>
      <c r="AD21" s="16">
        <f t="shared" ca="1" si="199"/>
        <v>0</v>
      </c>
      <c r="AE21" s="16">
        <f t="shared" ca="1" si="199"/>
        <v>0</v>
      </c>
      <c r="AF21" s="16">
        <f t="shared" ca="1" si="199"/>
        <v>0</v>
      </c>
      <c r="AG21" s="16">
        <f ca="1">$I$6</f>
        <v>0</v>
      </c>
      <c r="AH21" s="16">
        <f t="shared" ca="1" si="119"/>
        <v>0</v>
      </c>
      <c r="AI21" s="16">
        <f t="shared" ca="1" si="119"/>
        <v>0</v>
      </c>
      <c r="AJ21" s="18">
        <f t="shared" ca="1" si="119"/>
        <v>0</v>
      </c>
      <c r="AK21" s="19">
        <f t="shared" ca="1" si="120"/>
        <v>0</v>
      </c>
      <c r="AL21" s="16">
        <f t="shared" ca="1" si="120"/>
        <v>0</v>
      </c>
      <c r="AM21" s="16">
        <f t="shared" ca="1" si="120"/>
        <v>0</v>
      </c>
      <c r="AN21" s="16">
        <f t="shared" ca="1" si="120"/>
        <v>0</v>
      </c>
      <c r="AO21" s="16">
        <f t="shared" ca="1" si="200"/>
        <v>0</v>
      </c>
      <c r="AP21" s="16">
        <f t="shared" ca="1" si="200"/>
        <v>0</v>
      </c>
      <c r="AQ21" s="16">
        <f t="shared" ca="1" si="200"/>
        <v>0</v>
      </c>
      <c r="AR21" s="16">
        <f t="shared" ca="1" si="200"/>
        <v>0</v>
      </c>
      <c r="AS21" s="16">
        <f t="shared" ca="1" si="153"/>
        <v>0</v>
      </c>
      <c r="AT21" s="16">
        <f t="shared" ca="1" si="153"/>
        <v>0</v>
      </c>
      <c r="AU21" s="16">
        <f t="shared" ca="1" si="153"/>
        <v>0</v>
      </c>
      <c r="AV21" s="18">
        <f t="shared" ca="1" si="153"/>
        <v>0</v>
      </c>
      <c r="AW21" s="19">
        <f t="shared" ca="1" si="154"/>
        <v>2</v>
      </c>
      <c r="AX21" s="16">
        <f t="shared" ca="1" si="154"/>
        <v>2</v>
      </c>
      <c r="AY21" s="16">
        <f t="shared" ca="1" si="154"/>
        <v>2</v>
      </c>
      <c r="AZ21" s="16">
        <f t="shared" ca="1" si="154"/>
        <v>2</v>
      </c>
      <c r="BA21" s="16">
        <f t="shared" ca="1" si="201"/>
        <v>2</v>
      </c>
      <c r="BB21" s="16">
        <f t="shared" ca="1" si="201"/>
        <v>2</v>
      </c>
      <c r="BC21" s="16">
        <f t="shared" ca="1" si="201"/>
        <v>2</v>
      </c>
      <c r="BD21" s="16">
        <f t="shared" ca="1" si="201"/>
        <v>2</v>
      </c>
      <c r="BE21" s="16">
        <f t="shared" ca="1" si="156"/>
        <v>2</v>
      </c>
      <c r="BF21" s="16">
        <f t="shared" ca="1" si="156"/>
        <v>2</v>
      </c>
      <c r="BG21" s="16">
        <f t="shared" ca="1" si="156"/>
        <v>2</v>
      </c>
      <c r="BH21" s="18">
        <f t="shared" ca="1" si="156"/>
        <v>2</v>
      </c>
      <c r="BI21" s="19">
        <f t="shared" ca="1" si="122"/>
        <v>0</v>
      </c>
      <c r="BJ21" s="16">
        <f t="shared" ca="1" si="157"/>
        <v>0</v>
      </c>
      <c r="BK21" s="16">
        <f t="shared" ca="1" si="157"/>
        <v>0</v>
      </c>
      <c r="BL21" s="16">
        <f t="shared" ca="1" si="157"/>
        <v>0</v>
      </c>
      <c r="BM21" s="16">
        <f t="shared" ca="1" si="202"/>
        <v>0</v>
      </c>
      <c r="BN21" s="16">
        <f t="shared" ca="1" si="202"/>
        <v>0</v>
      </c>
      <c r="BO21" s="16">
        <f t="shared" ca="1" si="202"/>
        <v>0</v>
      </c>
      <c r="BP21" s="16">
        <f t="shared" ca="1" si="202"/>
        <v>0</v>
      </c>
      <c r="BQ21" s="16">
        <f t="shared" ca="1" si="123"/>
        <v>0</v>
      </c>
      <c r="BR21" s="16">
        <f t="shared" ca="1" si="123"/>
        <v>0</v>
      </c>
      <c r="BS21" s="16">
        <f t="shared" ca="1" si="123"/>
        <v>0</v>
      </c>
      <c r="BT21" s="18">
        <f t="shared" ca="1" si="123"/>
        <v>0</v>
      </c>
      <c r="BU21" s="19">
        <f t="shared" ca="1" si="124"/>
        <v>0</v>
      </c>
      <c r="BV21" s="16">
        <f t="shared" ca="1" si="124"/>
        <v>0</v>
      </c>
      <c r="BW21" s="16">
        <f t="shared" ca="1" si="124"/>
        <v>0</v>
      </c>
      <c r="BX21" s="16">
        <f ca="1">$I$13</f>
        <v>0</v>
      </c>
      <c r="BY21" s="16">
        <f t="shared" ca="1" si="203"/>
        <v>0</v>
      </c>
      <c r="BZ21" s="16">
        <f t="shared" ca="1" si="203"/>
        <v>0</v>
      </c>
      <c r="CA21" s="16">
        <f t="shared" ca="1" si="203"/>
        <v>0</v>
      </c>
      <c r="CB21" s="16">
        <f t="shared" ca="1" si="203"/>
        <v>0</v>
      </c>
      <c r="CC21" s="16">
        <f t="shared" ca="1" si="160"/>
        <v>0</v>
      </c>
      <c r="CD21" s="16">
        <f t="shared" ca="1" si="160"/>
        <v>0</v>
      </c>
      <c r="CE21" s="16">
        <f t="shared" ca="1" si="125"/>
        <v>0</v>
      </c>
      <c r="CF21" s="18">
        <f t="shared" ca="1" si="125"/>
        <v>0</v>
      </c>
      <c r="CG21" s="19">
        <f t="shared" ca="1" si="161"/>
        <v>2</v>
      </c>
      <c r="CH21" s="16">
        <f t="shared" ca="1" si="161"/>
        <v>2</v>
      </c>
      <c r="CI21" s="16">
        <f t="shared" ca="1" si="161"/>
        <v>2</v>
      </c>
      <c r="CJ21" s="16">
        <f t="shared" ca="1" si="161"/>
        <v>2</v>
      </c>
      <c r="CK21" s="16">
        <f t="shared" ca="1" si="204"/>
        <v>2</v>
      </c>
      <c r="CL21" s="16">
        <f t="shared" ca="1" si="204"/>
        <v>2</v>
      </c>
      <c r="CM21" s="16">
        <f t="shared" ca="1" si="204"/>
        <v>2</v>
      </c>
      <c r="CN21" s="16">
        <f t="shared" ca="1" si="204"/>
        <v>2</v>
      </c>
      <c r="CO21" s="16">
        <f t="shared" ca="1" si="163"/>
        <v>2</v>
      </c>
      <c r="CP21" s="16">
        <f t="shared" ca="1" si="163"/>
        <v>2</v>
      </c>
      <c r="CQ21" s="16">
        <f t="shared" ca="1" si="163"/>
        <v>2</v>
      </c>
      <c r="CR21" s="18">
        <f t="shared" ca="1" si="163"/>
        <v>2</v>
      </c>
      <c r="CS21" s="19">
        <f t="shared" ca="1" si="164"/>
        <v>0</v>
      </c>
      <c r="CT21" s="16">
        <f t="shared" ca="1" si="164"/>
        <v>0</v>
      </c>
      <c r="CU21" s="16">
        <f t="shared" ca="1" si="164"/>
        <v>0</v>
      </c>
      <c r="CV21" s="16">
        <f t="shared" ca="1" si="164"/>
        <v>0</v>
      </c>
      <c r="CW21" s="16">
        <f t="shared" ca="1" si="205"/>
        <v>0</v>
      </c>
      <c r="CX21" s="16">
        <f t="shared" ca="1" si="205"/>
        <v>0</v>
      </c>
      <c r="CY21" s="16">
        <f t="shared" ca="1" si="205"/>
        <v>0</v>
      </c>
      <c r="CZ21" s="16">
        <f t="shared" ca="1" si="205"/>
        <v>0</v>
      </c>
      <c r="DA21" s="16">
        <f t="shared" ca="1" si="166"/>
        <v>0</v>
      </c>
      <c r="DB21" s="16">
        <f t="shared" ca="1" si="166"/>
        <v>0</v>
      </c>
      <c r="DC21" s="16">
        <f t="shared" ca="1" si="166"/>
        <v>0</v>
      </c>
      <c r="DD21" s="18">
        <f t="shared" ca="1" si="166"/>
        <v>0</v>
      </c>
      <c r="DE21" s="19">
        <f t="shared" ca="1" si="128"/>
        <v>0</v>
      </c>
      <c r="DF21" s="16">
        <f t="shared" ca="1" si="128"/>
        <v>0</v>
      </c>
      <c r="DG21" s="16">
        <f t="shared" ca="1" si="167"/>
        <v>0</v>
      </c>
      <c r="DH21" s="16">
        <f t="shared" ca="1" si="167"/>
        <v>0</v>
      </c>
      <c r="DI21" s="16">
        <f t="shared" ca="1" si="206"/>
        <v>0</v>
      </c>
      <c r="DJ21" s="16">
        <f t="shared" ca="1" si="206"/>
        <v>0</v>
      </c>
      <c r="DK21" s="16">
        <f t="shared" ca="1" si="206"/>
        <v>0</v>
      </c>
      <c r="DL21" s="16">
        <f t="shared" ca="1" si="206"/>
        <v>0</v>
      </c>
      <c r="DM21" s="16">
        <f ca="1">$I$6</f>
        <v>0</v>
      </c>
      <c r="DN21" s="16">
        <f t="shared" ca="1" si="129"/>
        <v>0</v>
      </c>
      <c r="DO21" s="16">
        <f t="shared" ca="1" si="129"/>
        <v>0</v>
      </c>
      <c r="DP21" s="18">
        <f t="shared" ca="1" si="129"/>
        <v>0</v>
      </c>
      <c r="DQ21" s="19">
        <f t="shared" ca="1" si="130"/>
        <v>0</v>
      </c>
      <c r="DR21" s="16">
        <f t="shared" ca="1" si="130"/>
        <v>0</v>
      </c>
      <c r="DS21" s="16">
        <f t="shared" ca="1" si="130"/>
        <v>0</v>
      </c>
      <c r="DT21" s="16">
        <f t="shared" ca="1" si="130"/>
        <v>0</v>
      </c>
      <c r="DU21" s="16">
        <f t="shared" ca="1" si="207"/>
        <v>0</v>
      </c>
      <c r="DV21" s="16">
        <f t="shared" ca="1" si="207"/>
        <v>0</v>
      </c>
      <c r="DW21" s="16">
        <f t="shared" ca="1" si="207"/>
        <v>0</v>
      </c>
      <c r="DX21" s="16">
        <f t="shared" ca="1" si="207"/>
        <v>0</v>
      </c>
      <c r="DY21" s="16">
        <f t="shared" ca="1" si="170"/>
        <v>0</v>
      </c>
      <c r="DZ21" s="16">
        <f t="shared" ca="1" si="170"/>
        <v>0</v>
      </c>
      <c r="EA21" s="16">
        <f t="shared" ca="1" si="170"/>
        <v>0</v>
      </c>
      <c r="EB21" s="18">
        <f t="shared" ca="1" si="170"/>
        <v>0</v>
      </c>
      <c r="EC21" s="19">
        <f t="shared" ca="1" si="171"/>
        <v>2</v>
      </c>
      <c r="ED21" s="16">
        <f t="shared" ca="1" si="171"/>
        <v>2</v>
      </c>
      <c r="EE21" s="16">
        <f t="shared" ca="1" si="171"/>
        <v>2</v>
      </c>
      <c r="EF21" s="16">
        <f t="shared" ca="1" si="171"/>
        <v>2</v>
      </c>
      <c r="EG21" s="16">
        <f t="shared" ca="1" si="208"/>
        <v>2</v>
      </c>
      <c r="EH21" s="16">
        <f t="shared" ca="1" si="208"/>
        <v>2</v>
      </c>
      <c r="EI21" s="16">
        <f t="shared" ca="1" si="208"/>
        <v>2</v>
      </c>
      <c r="EJ21" s="16">
        <f t="shared" ca="1" si="208"/>
        <v>2</v>
      </c>
      <c r="EK21" s="16">
        <f t="shared" ca="1" si="173"/>
        <v>2</v>
      </c>
      <c r="EL21" s="16">
        <f t="shared" ca="1" si="173"/>
        <v>2</v>
      </c>
      <c r="EM21" s="16">
        <f t="shared" ca="1" si="173"/>
        <v>2</v>
      </c>
      <c r="EN21" s="18">
        <f t="shared" ca="1" si="173"/>
        <v>2</v>
      </c>
      <c r="EO21" s="19">
        <f t="shared" ca="1" si="132"/>
        <v>0</v>
      </c>
      <c r="EP21" s="16">
        <f t="shared" ca="1" si="174"/>
        <v>0</v>
      </c>
      <c r="EQ21" s="16">
        <f t="shared" ca="1" si="174"/>
        <v>0</v>
      </c>
      <c r="ER21" s="16">
        <f t="shared" ca="1" si="174"/>
        <v>0</v>
      </c>
      <c r="ES21" s="16">
        <f t="shared" ca="1" si="209"/>
        <v>0</v>
      </c>
      <c r="ET21" s="16">
        <f t="shared" ca="1" si="209"/>
        <v>0</v>
      </c>
      <c r="EU21" s="16">
        <f t="shared" ca="1" si="209"/>
        <v>0</v>
      </c>
      <c r="EV21" s="16">
        <f t="shared" ca="1" si="209"/>
        <v>0</v>
      </c>
      <c r="EW21" s="16">
        <f t="shared" ca="1" si="133"/>
        <v>0</v>
      </c>
      <c r="EX21" s="16">
        <f t="shared" ca="1" si="133"/>
        <v>0</v>
      </c>
      <c r="EY21" s="16">
        <f t="shared" ca="1" si="133"/>
        <v>0</v>
      </c>
      <c r="EZ21" s="18">
        <f t="shared" ca="1" si="133"/>
        <v>0</v>
      </c>
      <c r="FA21" s="19">
        <f t="shared" ca="1" si="134"/>
        <v>0</v>
      </c>
      <c r="FB21" s="16">
        <f t="shared" ca="1" si="134"/>
        <v>0</v>
      </c>
      <c r="FC21" s="16">
        <f t="shared" ca="1" si="134"/>
        <v>0</v>
      </c>
      <c r="FD21" s="16">
        <f ca="1">$I$13</f>
        <v>0</v>
      </c>
      <c r="FE21" s="16">
        <f t="shared" ca="1" si="210"/>
        <v>0</v>
      </c>
      <c r="FF21" s="16">
        <f t="shared" ca="1" si="210"/>
        <v>0</v>
      </c>
      <c r="FG21" s="16">
        <f t="shared" ca="1" si="210"/>
        <v>0</v>
      </c>
      <c r="FH21" s="16">
        <f t="shared" ca="1" si="210"/>
        <v>0</v>
      </c>
      <c r="FI21" s="16">
        <f t="shared" ca="1" si="177"/>
        <v>0</v>
      </c>
      <c r="FJ21" s="16">
        <f t="shared" ca="1" si="177"/>
        <v>0</v>
      </c>
      <c r="FK21" s="16">
        <f t="shared" ca="1" si="135"/>
        <v>0</v>
      </c>
      <c r="FL21" s="18">
        <f t="shared" ca="1" si="135"/>
        <v>0</v>
      </c>
      <c r="FM21" s="19">
        <f t="shared" ca="1" si="178"/>
        <v>2</v>
      </c>
      <c r="FN21" s="16">
        <f t="shared" ca="1" si="178"/>
        <v>2</v>
      </c>
      <c r="FO21" s="16">
        <f t="shared" ca="1" si="178"/>
        <v>2</v>
      </c>
      <c r="FP21" s="16">
        <f t="shared" ca="1" si="178"/>
        <v>2</v>
      </c>
      <c r="FQ21" s="16">
        <f t="shared" ca="1" si="211"/>
        <v>2</v>
      </c>
      <c r="FR21" s="16">
        <f t="shared" ca="1" si="211"/>
        <v>2</v>
      </c>
      <c r="FS21" s="16">
        <f t="shared" ca="1" si="211"/>
        <v>2</v>
      </c>
      <c r="FT21" s="16">
        <f t="shared" ca="1" si="211"/>
        <v>2</v>
      </c>
      <c r="FU21" s="16">
        <f t="shared" ca="1" si="180"/>
        <v>2</v>
      </c>
      <c r="FV21" s="16">
        <f t="shared" ca="1" si="180"/>
        <v>2</v>
      </c>
      <c r="FW21" s="16">
        <f t="shared" ca="1" si="180"/>
        <v>2</v>
      </c>
      <c r="FX21" s="18">
        <f t="shared" ca="1" si="180"/>
        <v>2</v>
      </c>
      <c r="FY21" s="19">
        <f t="shared" ca="1" si="181"/>
        <v>0</v>
      </c>
      <c r="FZ21" s="16">
        <f t="shared" ca="1" si="181"/>
        <v>0</v>
      </c>
      <c r="GA21" s="16">
        <f t="shared" ca="1" si="181"/>
        <v>0</v>
      </c>
      <c r="GB21" s="16">
        <f t="shared" ca="1" si="181"/>
        <v>0</v>
      </c>
      <c r="GC21" s="16">
        <f t="shared" ca="1" si="212"/>
        <v>0</v>
      </c>
      <c r="GD21" s="16">
        <f t="shared" ca="1" si="212"/>
        <v>0</v>
      </c>
      <c r="GE21" s="16">
        <f t="shared" ca="1" si="212"/>
        <v>0</v>
      </c>
      <c r="GF21" s="16">
        <f t="shared" ca="1" si="212"/>
        <v>0</v>
      </c>
      <c r="GG21" s="16">
        <f t="shared" ca="1" si="183"/>
        <v>0</v>
      </c>
      <c r="GH21" s="16">
        <f t="shared" ca="1" si="183"/>
        <v>0</v>
      </c>
      <c r="GI21" s="16">
        <f t="shared" ca="1" si="183"/>
        <v>0</v>
      </c>
      <c r="GJ21" s="18">
        <f t="shared" ca="1" si="183"/>
        <v>0</v>
      </c>
      <c r="GK21" s="19">
        <f t="shared" ca="1" si="138"/>
        <v>0</v>
      </c>
      <c r="GL21" s="16">
        <f t="shared" ca="1" si="138"/>
        <v>0</v>
      </c>
      <c r="GM21" s="16">
        <f t="shared" ca="1" si="184"/>
        <v>0</v>
      </c>
      <c r="GN21" s="16">
        <f t="shared" ca="1" si="184"/>
        <v>0</v>
      </c>
      <c r="GO21" s="16">
        <f t="shared" ca="1" si="213"/>
        <v>0</v>
      </c>
      <c r="GP21" s="16">
        <f t="shared" ca="1" si="213"/>
        <v>0</v>
      </c>
      <c r="GQ21" s="16">
        <f t="shared" ca="1" si="213"/>
        <v>0</v>
      </c>
      <c r="GR21" s="16">
        <f t="shared" ca="1" si="213"/>
        <v>0</v>
      </c>
      <c r="GS21" s="16">
        <f ca="1">$I$6</f>
        <v>0</v>
      </c>
      <c r="GT21" s="16">
        <f t="shared" ca="1" si="139"/>
        <v>0</v>
      </c>
      <c r="GU21" s="16">
        <f t="shared" ca="1" si="139"/>
        <v>0</v>
      </c>
      <c r="GV21" s="18">
        <f t="shared" ca="1" si="139"/>
        <v>0</v>
      </c>
      <c r="GW21" s="19">
        <f t="shared" ca="1" si="140"/>
        <v>0</v>
      </c>
      <c r="GX21" s="16">
        <f t="shared" ca="1" si="140"/>
        <v>0</v>
      </c>
      <c r="GY21" s="16">
        <f t="shared" ca="1" si="140"/>
        <v>0</v>
      </c>
      <c r="GZ21" s="16">
        <f t="shared" ca="1" si="140"/>
        <v>0</v>
      </c>
      <c r="HA21" s="16">
        <f t="shared" ca="1" si="214"/>
        <v>0</v>
      </c>
      <c r="HB21" s="16">
        <f t="shared" ca="1" si="214"/>
        <v>0</v>
      </c>
      <c r="HC21" s="16">
        <f t="shared" ca="1" si="214"/>
        <v>0</v>
      </c>
      <c r="HD21" s="16">
        <f t="shared" ca="1" si="214"/>
        <v>0</v>
      </c>
      <c r="HE21" s="16">
        <f t="shared" ca="1" si="187"/>
        <v>0</v>
      </c>
      <c r="HF21" s="16">
        <f t="shared" ca="1" si="187"/>
        <v>0</v>
      </c>
      <c r="HG21" s="16">
        <f t="shared" ca="1" si="187"/>
        <v>0</v>
      </c>
      <c r="HH21" s="18">
        <f t="shared" ca="1" si="187"/>
        <v>0</v>
      </c>
      <c r="HI21" s="19">
        <f t="shared" ca="1" si="188"/>
        <v>2</v>
      </c>
      <c r="HJ21" s="16">
        <f t="shared" ca="1" si="188"/>
        <v>2</v>
      </c>
      <c r="HK21" s="16">
        <f t="shared" ca="1" si="188"/>
        <v>2</v>
      </c>
      <c r="HL21" s="16">
        <f t="shared" ca="1" si="188"/>
        <v>2</v>
      </c>
      <c r="HM21" s="16">
        <f t="shared" ca="1" si="215"/>
        <v>2</v>
      </c>
      <c r="HN21" s="16">
        <f t="shared" ca="1" si="215"/>
        <v>2</v>
      </c>
      <c r="HO21" s="16">
        <f t="shared" ca="1" si="215"/>
        <v>2</v>
      </c>
      <c r="HP21" s="16">
        <f t="shared" ca="1" si="215"/>
        <v>2</v>
      </c>
      <c r="HQ21" s="16">
        <f t="shared" ca="1" si="190"/>
        <v>2</v>
      </c>
      <c r="HR21" s="16">
        <f t="shared" ca="1" si="190"/>
        <v>2</v>
      </c>
      <c r="HS21" s="16">
        <f t="shared" ca="1" si="190"/>
        <v>2</v>
      </c>
      <c r="HT21" s="18">
        <f t="shared" ca="1" si="190"/>
        <v>2</v>
      </c>
      <c r="HU21" s="19">
        <f t="shared" ca="1" si="142"/>
        <v>0</v>
      </c>
      <c r="HV21" s="16">
        <f t="shared" ca="1" si="191"/>
        <v>0</v>
      </c>
      <c r="HW21" s="16">
        <f t="shared" ca="1" si="191"/>
        <v>0</v>
      </c>
      <c r="HX21" s="16">
        <f t="shared" ca="1" si="191"/>
        <v>0</v>
      </c>
      <c r="HY21" s="16">
        <f t="shared" ca="1" si="216"/>
        <v>0</v>
      </c>
      <c r="HZ21" s="16">
        <f t="shared" ca="1" si="216"/>
        <v>0</v>
      </c>
      <c r="IA21" s="16">
        <f t="shared" ca="1" si="216"/>
        <v>0</v>
      </c>
      <c r="IB21" s="16">
        <f t="shared" ca="1" si="216"/>
        <v>0</v>
      </c>
      <c r="IC21" s="16">
        <f t="shared" ca="1" si="143"/>
        <v>0</v>
      </c>
      <c r="ID21" s="16">
        <f t="shared" ca="1" si="143"/>
        <v>0</v>
      </c>
      <c r="IE21" s="16">
        <f t="shared" ca="1" si="143"/>
        <v>0</v>
      </c>
      <c r="IF21" s="18">
        <f t="shared" ca="1" si="143"/>
        <v>0</v>
      </c>
      <c r="IG21" s="19">
        <f t="shared" ca="1" si="144"/>
        <v>0</v>
      </c>
      <c r="IH21" s="16">
        <f t="shared" ca="1" si="144"/>
        <v>0</v>
      </c>
      <c r="II21" s="16">
        <f t="shared" ca="1" si="144"/>
        <v>0</v>
      </c>
      <c r="IJ21" s="16">
        <f ca="1">$I$13</f>
        <v>0</v>
      </c>
      <c r="IK21" s="16">
        <f t="shared" ca="1" si="217"/>
        <v>0</v>
      </c>
      <c r="IL21" s="16">
        <f t="shared" ca="1" si="217"/>
        <v>0</v>
      </c>
      <c r="IM21" s="16">
        <f t="shared" ca="1" si="217"/>
        <v>0</v>
      </c>
      <c r="IN21" s="16">
        <f t="shared" ca="1" si="217"/>
        <v>0</v>
      </c>
      <c r="IO21" s="16">
        <f t="shared" ca="1" si="194"/>
        <v>0</v>
      </c>
      <c r="IP21" s="16">
        <f t="shared" ca="1" si="194"/>
        <v>0</v>
      </c>
      <c r="IQ21" s="16">
        <f t="shared" ca="1" si="145"/>
        <v>0</v>
      </c>
      <c r="IR21" s="18">
        <f t="shared" ca="1" si="145"/>
        <v>0</v>
      </c>
      <c r="IS21" s="19">
        <f t="shared" ca="1" si="195"/>
        <v>2</v>
      </c>
      <c r="IT21" s="16">
        <f t="shared" ca="1" si="195"/>
        <v>2</v>
      </c>
      <c r="IU21" s="16">
        <f t="shared" ca="1" si="195"/>
        <v>2</v>
      </c>
      <c r="IV21" s="16">
        <f t="shared" ca="1" si="195"/>
        <v>2</v>
      </c>
      <c r="IW21" s="16">
        <f t="shared" ca="1" si="218"/>
        <v>2</v>
      </c>
      <c r="IX21" s="16">
        <f t="shared" ca="1" si="218"/>
        <v>2</v>
      </c>
      <c r="IY21" s="16">
        <f t="shared" ca="1" si="218"/>
        <v>2</v>
      </c>
      <c r="IZ21" s="16">
        <f t="shared" ca="1" si="218"/>
        <v>2</v>
      </c>
      <c r="JA21" s="16">
        <f t="shared" ca="1" si="197"/>
        <v>2</v>
      </c>
      <c r="JB21" s="16">
        <f t="shared" ca="1" si="197"/>
        <v>2</v>
      </c>
      <c r="JC21" s="16">
        <f t="shared" ca="1" si="197"/>
        <v>2</v>
      </c>
      <c r="JD21" s="18">
        <f t="shared" ca="1" si="197"/>
        <v>2</v>
      </c>
    </row>
    <row r="22" spans="1:264" ht="19.5" thickBot="1" x14ac:dyDescent="0.45">
      <c r="A22" s="2"/>
      <c r="B22" s="2"/>
      <c r="C22" s="2"/>
      <c r="D22" s="2"/>
      <c r="E22" s="2"/>
      <c r="F22" s="2"/>
      <c r="G22" s="2"/>
      <c r="H22" s="2"/>
      <c r="I22" s="2"/>
      <c r="J22" s="2"/>
      <c r="M22" s="32">
        <f t="shared" ca="1" si="147"/>
        <v>0</v>
      </c>
      <c r="N22" s="33">
        <f t="shared" ca="1" si="147"/>
        <v>0</v>
      </c>
      <c r="O22" s="33">
        <f t="shared" ca="1" si="147"/>
        <v>0</v>
      </c>
      <c r="P22" s="33">
        <f t="shared" ca="1" si="147"/>
        <v>0</v>
      </c>
      <c r="Q22" s="33">
        <f t="shared" ca="1" si="198"/>
        <v>0</v>
      </c>
      <c r="R22" s="33">
        <f t="shared" ca="1" si="198"/>
        <v>0</v>
      </c>
      <c r="S22" s="33">
        <f t="shared" ca="1" si="198"/>
        <v>0</v>
      </c>
      <c r="T22" s="33">
        <f t="shared" ca="1" si="198"/>
        <v>0</v>
      </c>
      <c r="U22" s="33">
        <f t="shared" ca="1" si="149"/>
        <v>0</v>
      </c>
      <c r="V22" s="33">
        <f t="shared" ca="1" si="149"/>
        <v>0</v>
      </c>
      <c r="W22" s="33">
        <f t="shared" ca="1" si="149"/>
        <v>0</v>
      </c>
      <c r="X22" s="28">
        <f t="shared" ca="1" si="149"/>
        <v>0</v>
      </c>
      <c r="Y22" s="32">
        <f t="shared" ca="1" si="118"/>
        <v>0</v>
      </c>
      <c r="Z22" s="33">
        <f t="shared" ca="1" si="118"/>
        <v>0</v>
      </c>
      <c r="AA22" s="33">
        <f t="shared" ca="1" si="150"/>
        <v>0</v>
      </c>
      <c r="AB22" s="33">
        <f t="shared" ca="1" si="150"/>
        <v>0</v>
      </c>
      <c r="AC22" s="33">
        <f t="shared" ca="1" si="199"/>
        <v>0</v>
      </c>
      <c r="AD22" s="33">
        <f t="shared" ca="1" si="199"/>
        <v>0</v>
      </c>
      <c r="AE22" s="33">
        <f t="shared" ca="1" si="199"/>
        <v>0</v>
      </c>
      <c r="AF22" s="33">
        <f t="shared" ca="1" si="199"/>
        <v>0</v>
      </c>
      <c r="AG22" s="33">
        <f ca="1">$I$6</f>
        <v>0</v>
      </c>
      <c r="AH22" s="33">
        <f t="shared" ca="1" si="119"/>
        <v>0</v>
      </c>
      <c r="AI22" s="33">
        <f t="shared" ca="1" si="119"/>
        <v>0</v>
      </c>
      <c r="AJ22" s="28">
        <f t="shared" ca="1" si="119"/>
        <v>0</v>
      </c>
      <c r="AK22" s="32">
        <f t="shared" ca="1" si="120"/>
        <v>0</v>
      </c>
      <c r="AL22" s="33">
        <f t="shared" ca="1" si="120"/>
        <v>0</v>
      </c>
      <c r="AM22" s="33">
        <f t="shared" ca="1" si="120"/>
        <v>0</v>
      </c>
      <c r="AN22" s="33">
        <f t="shared" ca="1" si="120"/>
        <v>0</v>
      </c>
      <c r="AO22" s="33">
        <f t="shared" ca="1" si="200"/>
        <v>0</v>
      </c>
      <c r="AP22" s="33">
        <f t="shared" ca="1" si="200"/>
        <v>0</v>
      </c>
      <c r="AQ22" s="33">
        <f t="shared" ca="1" si="200"/>
        <v>0</v>
      </c>
      <c r="AR22" s="33">
        <f t="shared" ca="1" si="200"/>
        <v>0</v>
      </c>
      <c r="AS22" s="33">
        <f t="shared" ca="1" si="153"/>
        <v>0</v>
      </c>
      <c r="AT22" s="33">
        <f t="shared" ca="1" si="153"/>
        <v>0</v>
      </c>
      <c r="AU22" s="33">
        <f t="shared" ca="1" si="153"/>
        <v>0</v>
      </c>
      <c r="AV22" s="28">
        <f t="shared" ca="1" si="153"/>
        <v>0</v>
      </c>
      <c r="AW22" s="32">
        <f t="shared" ca="1" si="154"/>
        <v>2</v>
      </c>
      <c r="AX22" s="33">
        <f t="shared" ca="1" si="154"/>
        <v>2</v>
      </c>
      <c r="AY22" s="33">
        <f t="shared" ca="1" si="154"/>
        <v>2</v>
      </c>
      <c r="AZ22" s="33">
        <f t="shared" ca="1" si="154"/>
        <v>2</v>
      </c>
      <c r="BA22" s="33">
        <f t="shared" ca="1" si="201"/>
        <v>2</v>
      </c>
      <c r="BB22" s="33">
        <f t="shared" ca="1" si="201"/>
        <v>2</v>
      </c>
      <c r="BC22" s="33">
        <f t="shared" ca="1" si="201"/>
        <v>2</v>
      </c>
      <c r="BD22" s="33">
        <f t="shared" ca="1" si="201"/>
        <v>2</v>
      </c>
      <c r="BE22" s="33">
        <f t="shared" ca="1" si="156"/>
        <v>2</v>
      </c>
      <c r="BF22" s="33">
        <f t="shared" ca="1" si="156"/>
        <v>2</v>
      </c>
      <c r="BG22" s="33">
        <f t="shared" ca="1" si="156"/>
        <v>2</v>
      </c>
      <c r="BH22" s="28">
        <f t="shared" ca="1" si="156"/>
        <v>2</v>
      </c>
      <c r="BI22" s="32">
        <f t="shared" ca="1" si="122"/>
        <v>0</v>
      </c>
      <c r="BJ22" s="33">
        <f t="shared" ca="1" si="157"/>
        <v>0</v>
      </c>
      <c r="BK22" s="33">
        <f t="shared" ca="1" si="157"/>
        <v>0</v>
      </c>
      <c r="BL22" s="33">
        <f t="shared" ca="1" si="157"/>
        <v>0</v>
      </c>
      <c r="BM22" s="33">
        <f t="shared" ca="1" si="202"/>
        <v>0</v>
      </c>
      <c r="BN22" s="33">
        <f t="shared" ca="1" si="202"/>
        <v>0</v>
      </c>
      <c r="BO22" s="33">
        <f t="shared" ca="1" si="202"/>
        <v>0</v>
      </c>
      <c r="BP22" s="33">
        <f t="shared" ca="1" si="202"/>
        <v>0</v>
      </c>
      <c r="BQ22" s="33">
        <f t="shared" ca="1" si="123"/>
        <v>0</v>
      </c>
      <c r="BR22" s="33">
        <f t="shared" ca="1" si="123"/>
        <v>0</v>
      </c>
      <c r="BS22" s="33">
        <f t="shared" ca="1" si="123"/>
        <v>0</v>
      </c>
      <c r="BT22" s="28">
        <f t="shared" ca="1" si="123"/>
        <v>0</v>
      </c>
      <c r="BU22" s="32">
        <f t="shared" ca="1" si="124"/>
        <v>0</v>
      </c>
      <c r="BV22" s="33">
        <f t="shared" ca="1" si="124"/>
        <v>0</v>
      </c>
      <c r="BW22" s="33">
        <f t="shared" ca="1" si="124"/>
        <v>0</v>
      </c>
      <c r="BX22" s="33">
        <f ca="1">$I$13</f>
        <v>0</v>
      </c>
      <c r="BY22" s="33">
        <f t="shared" ca="1" si="203"/>
        <v>0</v>
      </c>
      <c r="BZ22" s="33">
        <f t="shared" ca="1" si="203"/>
        <v>0</v>
      </c>
      <c r="CA22" s="33">
        <f t="shared" ca="1" si="203"/>
        <v>0</v>
      </c>
      <c r="CB22" s="33">
        <f t="shared" ca="1" si="203"/>
        <v>0</v>
      </c>
      <c r="CC22" s="33">
        <f t="shared" ca="1" si="160"/>
        <v>0</v>
      </c>
      <c r="CD22" s="33">
        <f t="shared" ca="1" si="160"/>
        <v>0</v>
      </c>
      <c r="CE22" s="33">
        <f t="shared" ca="1" si="125"/>
        <v>0</v>
      </c>
      <c r="CF22" s="28">
        <f t="shared" ca="1" si="125"/>
        <v>0</v>
      </c>
      <c r="CG22" s="32">
        <f t="shared" ca="1" si="161"/>
        <v>2</v>
      </c>
      <c r="CH22" s="33">
        <f t="shared" ca="1" si="161"/>
        <v>2</v>
      </c>
      <c r="CI22" s="33">
        <f t="shared" ca="1" si="161"/>
        <v>2</v>
      </c>
      <c r="CJ22" s="33">
        <f t="shared" ca="1" si="161"/>
        <v>2</v>
      </c>
      <c r="CK22" s="33">
        <f t="shared" ca="1" si="204"/>
        <v>2</v>
      </c>
      <c r="CL22" s="33">
        <f t="shared" ca="1" si="204"/>
        <v>2</v>
      </c>
      <c r="CM22" s="33">
        <f t="shared" ca="1" si="204"/>
        <v>2</v>
      </c>
      <c r="CN22" s="33">
        <f t="shared" ca="1" si="204"/>
        <v>2</v>
      </c>
      <c r="CO22" s="33">
        <f t="shared" ca="1" si="163"/>
        <v>2</v>
      </c>
      <c r="CP22" s="33">
        <f t="shared" ca="1" si="163"/>
        <v>2</v>
      </c>
      <c r="CQ22" s="33">
        <f t="shared" ca="1" si="163"/>
        <v>2</v>
      </c>
      <c r="CR22" s="28">
        <f t="shared" ca="1" si="163"/>
        <v>2</v>
      </c>
      <c r="CS22" s="32">
        <f t="shared" ca="1" si="164"/>
        <v>0</v>
      </c>
      <c r="CT22" s="33">
        <f t="shared" ca="1" si="164"/>
        <v>0</v>
      </c>
      <c r="CU22" s="33">
        <f t="shared" ca="1" si="164"/>
        <v>0</v>
      </c>
      <c r="CV22" s="33">
        <f t="shared" ca="1" si="164"/>
        <v>0</v>
      </c>
      <c r="CW22" s="33">
        <f t="shared" ca="1" si="205"/>
        <v>0</v>
      </c>
      <c r="CX22" s="33">
        <f t="shared" ca="1" si="205"/>
        <v>0</v>
      </c>
      <c r="CY22" s="33">
        <f t="shared" ca="1" si="205"/>
        <v>0</v>
      </c>
      <c r="CZ22" s="33">
        <f t="shared" ca="1" si="205"/>
        <v>0</v>
      </c>
      <c r="DA22" s="33">
        <f t="shared" ca="1" si="166"/>
        <v>0</v>
      </c>
      <c r="DB22" s="33">
        <f t="shared" ca="1" si="166"/>
        <v>0</v>
      </c>
      <c r="DC22" s="33">
        <f t="shared" ca="1" si="166"/>
        <v>0</v>
      </c>
      <c r="DD22" s="28">
        <f t="shared" ca="1" si="166"/>
        <v>0</v>
      </c>
      <c r="DE22" s="32">
        <f t="shared" ca="1" si="128"/>
        <v>0</v>
      </c>
      <c r="DF22" s="33">
        <f t="shared" ca="1" si="128"/>
        <v>0</v>
      </c>
      <c r="DG22" s="33">
        <f t="shared" ca="1" si="167"/>
        <v>0</v>
      </c>
      <c r="DH22" s="33">
        <f t="shared" ca="1" si="167"/>
        <v>0</v>
      </c>
      <c r="DI22" s="33">
        <f t="shared" ca="1" si="206"/>
        <v>0</v>
      </c>
      <c r="DJ22" s="33">
        <f t="shared" ca="1" si="206"/>
        <v>0</v>
      </c>
      <c r="DK22" s="33">
        <f t="shared" ca="1" si="206"/>
        <v>0</v>
      </c>
      <c r="DL22" s="33">
        <f t="shared" ca="1" si="206"/>
        <v>0</v>
      </c>
      <c r="DM22" s="33">
        <f ca="1">$I$6</f>
        <v>0</v>
      </c>
      <c r="DN22" s="33">
        <f t="shared" ca="1" si="129"/>
        <v>0</v>
      </c>
      <c r="DO22" s="33">
        <f t="shared" ca="1" si="129"/>
        <v>0</v>
      </c>
      <c r="DP22" s="28">
        <f t="shared" ca="1" si="129"/>
        <v>0</v>
      </c>
      <c r="DQ22" s="32">
        <f t="shared" ca="1" si="130"/>
        <v>0</v>
      </c>
      <c r="DR22" s="33">
        <f t="shared" ca="1" si="130"/>
        <v>0</v>
      </c>
      <c r="DS22" s="33">
        <f t="shared" ca="1" si="130"/>
        <v>0</v>
      </c>
      <c r="DT22" s="33">
        <f t="shared" ca="1" si="130"/>
        <v>0</v>
      </c>
      <c r="DU22" s="33">
        <f t="shared" ca="1" si="207"/>
        <v>0</v>
      </c>
      <c r="DV22" s="33">
        <f t="shared" ca="1" si="207"/>
        <v>0</v>
      </c>
      <c r="DW22" s="33">
        <f t="shared" ca="1" si="207"/>
        <v>0</v>
      </c>
      <c r="DX22" s="33">
        <f t="shared" ca="1" si="207"/>
        <v>0</v>
      </c>
      <c r="DY22" s="33">
        <f t="shared" ca="1" si="170"/>
        <v>0</v>
      </c>
      <c r="DZ22" s="33">
        <f t="shared" ca="1" si="170"/>
        <v>0</v>
      </c>
      <c r="EA22" s="33">
        <f t="shared" ca="1" si="170"/>
        <v>0</v>
      </c>
      <c r="EB22" s="28">
        <f t="shared" ca="1" si="170"/>
        <v>0</v>
      </c>
      <c r="EC22" s="32">
        <f t="shared" ca="1" si="171"/>
        <v>2</v>
      </c>
      <c r="ED22" s="33">
        <f t="shared" ca="1" si="171"/>
        <v>2</v>
      </c>
      <c r="EE22" s="33">
        <f t="shared" ca="1" si="171"/>
        <v>2</v>
      </c>
      <c r="EF22" s="33">
        <f t="shared" ca="1" si="171"/>
        <v>2</v>
      </c>
      <c r="EG22" s="33">
        <f t="shared" ca="1" si="208"/>
        <v>2</v>
      </c>
      <c r="EH22" s="33">
        <f t="shared" ca="1" si="208"/>
        <v>2</v>
      </c>
      <c r="EI22" s="33">
        <f t="shared" ca="1" si="208"/>
        <v>2</v>
      </c>
      <c r="EJ22" s="33">
        <f t="shared" ca="1" si="208"/>
        <v>2</v>
      </c>
      <c r="EK22" s="33">
        <f t="shared" ca="1" si="173"/>
        <v>2</v>
      </c>
      <c r="EL22" s="33">
        <f t="shared" ca="1" si="173"/>
        <v>2</v>
      </c>
      <c r="EM22" s="33">
        <f t="shared" ca="1" si="173"/>
        <v>2</v>
      </c>
      <c r="EN22" s="28">
        <f t="shared" ca="1" si="173"/>
        <v>2</v>
      </c>
      <c r="EO22" s="32">
        <f t="shared" ca="1" si="132"/>
        <v>0</v>
      </c>
      <c r="EP22" s="33">
        <f t="shared" ca="1" si="174"/>
        <v>0</v>
      </c>
      <c r="EQ22" s="33">
        <f t="shared" ca="1" si="174"/>
        <v>0</v>
      </c>
      <c r="ER22" s="33">
        <f t="shared" ca="1" si="174"/>
        <v>0</v>
      </c>
      <c r="ES22" s="33">
        <f t="shared" ca="1" si="209"/>
        <v>0</v>
      </c>
      <c r="ET22" s="33">
        <f t="shared" ca="1" si="209"/>
        <v>0</v>
      </c>
      <c r="EU22" s="33">
        <f t="shared" ca="1" si="209"/>
        <v>0</v>
      </c>
      <c r="EV22" s="33">
        <f t="shared" ca="1" si="209"/>
        <v>0</v>
      </c>
      <c r="EW22" s="33">
        <f t="shared" ca="1" si="133"/>
        <v>0</v>
      </c>
      <c r="EX22" s="33">
        <f t="shared" ca="1" si="133"/>
        <v>0</v>
      </c>
      <c r="EY22" s="33">
        <f t="shared" ca="1" si="133"/>
        <v>0</v>
      </c>
      <c r="EZ22" s="28">
        <f t="shared" ca="1" si="133"/>
        <v>0</v>
      </c>
      <c r="FA22" s="32">
        <f t="shared" ca="1" si="134"/>
        <v>0</v>
      </c>
      <c r="FB22" s="33">
        <f t="shared" ca="1" si="134"/>
        <v>0</v>
      </c>
      <c r="FC22" s="33">
        <f t="shared" ca="1" si="134"/>
        <v>0</v>
      </c>
      <c r="FD22" s="33">
        <f ca="1">$I$13</f>
        <v>0</v>
      </c>
      <c r="FE22" s="33">
        <f t="shared" ca="1" si="210"/>
        <v>0</v>
      </c>
      <c r="FF22" s="33">
        <f t="shared" ca="1" si="210"/>
        <v>0</v>
      </c>
      <c r="FG22" s="33">
        <f t="shared" ca="1" si="210"/>
        <v>0</v>
      </c>
      <c r="FH22" s="33">
        <f t="shared" ca="1" si="210"/>
        <v>0</v>
      </c>
      <c r="FI22" s="33">
        <f t="shared" ca="1" si="177"/>
        <v>0</v>
      </c>
      <c r="FJ22" s="33">
        <f t="shared" ca="1" si="177"/>
        <v>0</v>
      </c>
      <c r="FK22" s="33">
        <f t="shared" ca="1" si="135"/>
        <v>0</v>
      </c>
      <c r="FL22" s="28">
        <f t="shared" ca="1" si="135"/>
        <v>0</v>
      </c>
      <c r="FM22" s="32">
        <f t="shared" ca="1" si="178"/>
        <v>2</v>
      </c>
      <c r="FN22" s="33">
        <f t="shared" ca="1" si="178"/>
        <v>2</v>
      </c>
      <c r="FO22" s="33">
        <f t="shared" ca="1" si="178"/>
        <v>2</v>
      </c>
      <c r="FP22" s="33">
        <f t="shared" ca="1" si="178"/>
        <v>2</v>
      </c>
      <c r="FQ22" s="33">
        <f t="shared" ca="1" si="211"/>
        <v>2</v>
      </c>
      <c r="FR22" s="33">
        <f t="shared" ca="1" si="211"/>
        <v>2</v>
      </c>
      <c r="FS22" s="33">
        <f t="shared" ca="1" si="211"/>
        <v>2</v>
      </c>
      <c r="FT22" s="33">
        <f t="shared" ca="1" si="211"/>
        <v>2</v>
      </c>
      <c r="FU22" s="33">
        <f t="shared" ca="1" si="180"/>
        <v>2</v>
      </c>
      <c r="FV22" s="33">
        <f t="shared" ca="1" si="180"/>
        <v>2</v>
      </c>
      <c r="FW22" s="33">
        <f t="shared" ca="1" si="180"/>
        <v>2</v>
      </c>
      <c r="FX22" s="28">
        <f t="shared" ca="1" si="180"/>
        <v>2</v>
      </c>
      <c r="FY22" s="32">
        <f t="shared" ca="1" si="181"/>
        <v>0</v>
      </c>
      <c r="FZ22" s="33">
        <f t="shared" ca="1" si="181"/>
        <v>0</v>
      </c>
      <c r="GA22" s="33">
        <f t="shared" ca="1" si="181"/>
        <v>0</v>
      </c>
      <c r="GB22" s="33">
        <f t="shared" ca="1" si="181"/>
        <v>0</v>
      </c>
      <c r="GC22" s="33">
        <f t="shared" ca="1" si="212"/>
        <v>0</v>
      </c>
      <c r="GD22" s="33">
        <f t="shared" ca="1" si="212"/>
        <v>0</v>
      </c>
      <c r="GE22" s="33">
        <f t="shared" ca="1" si="212"/>
        <v>0</v>
      </c>
      <c r="GF22" s="33">
        <f t="shared" ca="1" si="212"/>
        <v>0</v>
      </c>
      <c r="GG22" s="33">
        <f t="shared" ca="1" si="183"/>
        <v>0</v>
      </c>
      <c r="GH22" s="33">
        <f t="shared" ca="1" si="183"/>
        <v>0</v>
      </c>
      <c r="GI22" s="33">
        <f t="shared" ca="1" si="183"/>
        <v>0</v>
      </c>
      <c r="GJ22" s="28">
        <f t="shared" ca="1" si="183"/>
        <v>0</v>
      </c>
      <c r="GK22" s="32">
        <f t="shared" ca="1" si="138"/>
        <v>0</v>
      </c>
      <c r="GL22" s="33">
        <f t="shared" ca="1" si="138"/>
        <v>0</v>
      </c>
      <c r="GM22" s="33">
        <f t="shared" ca="1" si="184"/>
        <v>0</v>
      </c>
      <c r="GN22" s="33">
        <f t="shared" ca="1" si="184"/>
        <v>0</v>
      </c>
      <c r="GO22" s="33">
        <f t="shared" ca="1" si="213"/>
        <v>0</v>
      </c>
      <c r="GP22" s="33">
        <f t="shared" ca="1" si="213"/>
        <v>0</v>
      </c>
      <c r="GQ22" s="33">
        <f t="shared" ca="1" si="213"/>
        <v>0</v>
      </c>
      <c r="GR22" s="33">
        <f t="shared" ca="1" si="213"/>
        <v>0</v>
      </c>
      <c r="GS22" s="33">
        <f ca="1">$I$6</f>
        <v>0</v>
      </c>
      <c r="GT22" s="33">
        <f t="shared" ca="1" si="139"/>
        <v>0</v>
      </c>
      <c r="GU22" s="33">
        <f t="shared" ca="1" si="139"/>
        <v>0</v>
      </c>
      <c r="GV22" s="28">
        <f t="shared" ca="1" si="139"/>
        <v>0</v>
      </c>
      <c r="GW22" s="32">
        <f t="shared" ca="1" si="140"/>
        <v>0</v>
      </c>
      <c r="GX22" s="33">
        <f t="shared" ca="1" si="140"/>
        <v>0</v>
      </c>
      <c r="GY22" s="33">
        <f t="shared" ca="1" si="140"/>
        <v>0</v>
      </c>
      <c r="GZ22" s="33">
        <f t="shared" ca="1" si="140"/>
        <v>0</v>
      </c>
      <c r="HA22" s="33">
        <f t="shared" ca="1" si="214"/>
        <v>0</v>
      </c>
      <c r="HB22" s="33">
        <f t="shared" ca="1" si="214"/>
        <v>0</v>
      </c>
      <c r="HC22" s="33">
        <f t="shared" ca="1" si="214"/>
        <v>0</v>
      </c>
      <c r="HD22" s="33">
        <f t="shared" ca="1" si="214"/>
        <v>0</v>
      </c>
      <c r="HE22" s="33">
        <f t="shared" ca="1" si="187"/>
        <v>0</v>
      </c>
      <c r="HF22" s="33">
        <f t="shared" ca="1" si="187"/>
        <v>0</v>
      </c>
      <c r="HG22" s="33">
        <f t="shared" ca="1" si="187"/>
        <v>0</v>
      </c>
      <c r="HH22" s="28">
        <f t="shared" ca="1" si="187"/>
        <v>0</v>
      </c>
      <c r="HI22" s="32">
        <f t="shared" ca="1" si="188"/>
        <v>2</v>
      </c>
      <c r="HJ22" s="33">
        <f t="shared" ca="1" si="188"/>
        <v>2</v>
      </c>
      <c r="HK22" s="33">
        <f t="shared" ca="1" si="188"/>
        <v>2</v>
      </c>
      <c r="HL22" s="33">
        <f t="shared" ca="1" si="188"/>
        <v>2</v>
      </c>
      <c r="HM22" s="33">
        <f t="shared" ca="1" si="215"/>
        <v>2</v>
      </c>
      <c r="HN22" s="33">
        <f t="shared" ca="1" si="215"/>
        <v>2</v>
      </c>
      <c r="HO22" s="33">
        <f t="shared" ca="1" si="215"/>
        <v>2</v>
      </c>
      <c r="HP22" s="33">
        <f t="shared" ca="1" si="215"/>
        <v>2</v>
      </c>
      <c r="HQ22" s="33">
        <f t="shared" ca="1" si="190"/>
        <v>2</v>
      </c>
      <c r="HR22" s="33">
        <f t="shared" ca="1" si="190"/>
        <v>2</v>
      </c>
      <c r="HS22" s="33">
        <f t="shared" ca="1" si="190"/>
        <v>2</v>
      </c>
      <c r="HT22" s="28">
        <f t="shared" ca="1" si="190"/>
        <v>2</v>
      </c>
      <c r="HU22" s="32">
        <f t="shared" ca="1" si="142"/>
        <v>0</v>
      </c>
      <c r="HV22" s="33">
        <f t="shared" ca="1" si="191"/>
        <v>0</v>
      </c>
      <c r="HW22" s="33">
        <f t="shared" ca="1" si="191"/>
        <v>0</v>
      </c>
      <c r="HX22" s="33">
        <f t="shared" ca="1" si="191"/>
        <v>0</v>
      </c>
      <c r="HY22" s="33">
        <f t="shared" ca="1" si="216"/>
        <v>0</v>
      </c>
      <c r="HZ22" s="33">
        <f t="shared" ca="1" si="216"/>
        <v>0</v>
      </c>
      <c r="IA22" s="33">
        <f t="shared" ca="1" si="216"/>
        <v>0</v>
      </c>
      <c r="IB22" s="33">
        <f t="shared" ca="1" si="216"/>
        <v>0</v>
      </c>
      <c r="IC22" s="33">
        <f t="shared" ca="1" si="143"/>
        <v>0</v>
      </c>
      <c r="ID22" s="33">
        <f t="shared" ca="1" si="143"/>
        <v>0</v>
      </c>
      <c r="IE22" s="33">
        <f t="shared" ca="1" si="143"/>
        <v>0</v>
      </c>
      <c r="IF22" s="28">
        <f t="shared" ca="1" si="143"/>
        <v>0</v>
      </c>
      <c r="IG22" s="32">
        <f t="shared" ca="1" si="144"/>
        <v>0</v>
      </c>
      <c r="IH22" s="33">
        <f t="shared" ca="1" si="144"/>
        <v>0</v>
      </c>
      <c r="II22" s="33">
        <f t="shared" ca="1" si="144"/>
        <v>0</v>
      </c>
      <c r="IJ22" s="33">
        <f ca="1">$I$13</f>
        <v>0</v>
      </c>
      <c r="IK22" s="33">
        <f t="shared" ca="1" si="217"/>
        <v>0</v>
      </c>
      <c r="IL22" s="33">
        <f t="shared" ca="1" si="217"/>
        <v>0</v>
      </c>
      <c r="IM22" s="33">
        <f t="shared" ca="1" si="217"/>
        <v>0</v>
      </c>
      <c r="IN22" s="33">
        <f t="shared" ca="1" si="217"/>
        <v>0</v>
      </c>
      <c r="IO22" s="33">
        <f t="shared" ca="1" si="194"/>
        <v>0</v>
      </c>
      <c r="IP22" s="33">
        <f t="shared" ca="1" si="194"/>
        <v>0</v>
      </c>
      <c r="IQ22" s="33">
        <f t="shared" ca="1" si="145"/>
        <v>0</v>
      </c>
      <c r="IR22" s="28">
        <f t="shared" ca="1" si="145"/>
        <v>0</v>
      </c>
      <c r="IS22" s="32">
        <f t="shared" ca="1" si="195"/>
        <v>2</v>
      </c>
      <c r="IT22" s="33">
        <f t="shared" ca="1" si="195"/>
        <v>2</v>
      </c>
      <c r="IU22" s="33">
        <f t="shared" ca="1" si="195"/>
        <v>2</v>
      </c>
      <c r="IV22" s="33">
        <f t="shared" ca="1" si="195"/>
        <v>2</v>
      </c>
      <c r="IW22" s="33">
        <f t="shared" ca="1" si="218"/>
        <v>2</v>
      </c>
      <c r="IX22" s="33">
        <f t="shared" ca="1" si="218"/>
        <v>2</v>
      </c>
      <c r="IY22" s="33">
        <f t="shared" ca="1" si="218"/>
        <v>2</v>
      </c>
      <c r="IZ22" s="33">
        <f t="shared" ca="1" si="218"/>
        <v>2</v>
      </c>
      <c r="JA22" s="33">
        <f t="shared" ca="1" si="197"/>
        <v>2</v>
      </c>
      <c r="JB22" s="33">
        <f t="shared" ca="1" si="197"/>
        <v>2</v>
      </c>
      <c r="JC22" s="33">
        <f t="shared" ca="1" si="197"/>
        <v>2</v>
      </c>
      <c r="JD22" s="28">
        <f t="shared" ca="1" si="197"/>
        <v>2</v>
      </c>
    </row>
    <row r="23" spans="1:264" ht="19.5" thickTop="1" x14ac:dyDescent="0.4">
      <c r="A23" s="2"/>
      <c r="B23" s="2"/>
      <c r="C23" s="2"/>
      <c r="D23" s="2"/>
      <c r="E23" s="2"/>
      <c r="F23" s="2"/>
      <c r="G23" s="2"/>
      <c r="H23" s="2"/>
      <c r="I23" s="2"/>
      <c r="J23" s="2"/>
    </row>
  </sheetData>
  <phoneticPr fontId="1"/>
  <conditionalFormatting sqref="M2:JD22">
    <cfRule type="cellIs" dxfId="4" priority="1" operator="equal">
      <formula>5</formula>
    </cfRule>
    <cfRule type="cellIs" dxfId="3" priority="10" operator="equal">
      <formula>4</formula>
    </cfRule>
    <cfRule type="cellIs" dxfId="2" priority="11" operator="equal">
      <formula>3</formula>
    </cfRule>
    <cfRule type="cellIs" dxfId="1" priority="12" operator="equal">
      <formula>1</formula>
    </cfRule>
    <cfRule type="cellIs" dxfId="0" priority="13" operator="equal">
      <formula>2</formula>
    </cfRule>
  </conditionalFormatting>
  <pageMargins left="0.7" right="0.7" top="0.75" bottom="0.75" header="0.3" footer="0.3"/>
  <pageSetup paperSize="9" orientation="portrait" horizontalDpi="4294967293" verticalDpi="0" r:id="rId1"/>
  <ignoredErrors>
    <ignoredError sqref="V10:JD10 V11:JD11 C4:J4 Q18:JD22 C13:J15 C12:F12 H5:J12 C5 C6:E11"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1"/>
  <sheetViews>
    <sheetView topLeftCell="Q1" zoomScaleNormal="100" workbookViewId="0">
      <pane ySplit="4" topLeftCell="A5" activePane="bottomLeft" state="frozen"/>
      <selection pane="bottomLeft" activeCell="Q1" sqref="Q1"/>
    </sheetView>
  </sheetViews>
  <sheetFormatPr defaultColWidth="9.125" defaultRowHeight="15" x14ac:dyDescent="0.25"/>
  <cols>
    <col min="1" max="1" width="8.875" style="2" customWidth="1"/>
    <col min="2" max="2" width="9.125" style="2" customWidth="1"/>
    <col min="3" max="3" width="5.375" style="2" customWidth="1"/>
    <col min="4" max="4" width="8.875" style="2" customWidth="1"/>
    <col min="5" max="5" width="11.125" style="2" customWidth="1"/>
    <col min="6" max="6" width="9.125" style="2"/>
    <col min="7" max="7" width="7.125" style="2" customWidth="1"/>
    <col min="8" max="8" width="27.625" style="2" customWidth="1"/>
    <col min="9" max="11" width="8.125" style="2" customWidth="1"/>
    <col min="12" max="12" width="9.125" style="2"/>
    <col min="13" max="13" width="12.5" style="2" customWidth="1"/>
    <col min="14" max="14" width="29.75" style="2" bestFit="1" customWidth="1"/>
    <col min="15" max="15" width="21.875" style="2" bestFit="1" customWidth="1"/>
    <col min="16" max="16" width="14.375" style="2" bestFit="1" customWidth="1"/>
    <col min="17" max="17" width="9.125" style="2"/>
    <col min="18" max="18" width="22.125" style="2" bestFit="1" customWidth="1"/>
    <col min="19" max="19" width="33" style="2" bestFit="1" customWidth="1"/>
    <col min="20" max="20" width="21.875" style="2" bestFit="1" customWidth="1"/>
    <col min="21" max="21" width="9.125" style="2"/>
    <col min="22" max="22" width="22.125" style="2" bestFit="1" customWidth="1"/>
    <col min="23" max="23" width="19.875" style="2" bestFit="1" customWidth="1"/>
    <col min="24" max="24" width="14.375" style="2" bestFit="1" customWidth="1"/>
    <col min="25" max="25" width="22.125" style="2" bestFit="1" customWidth="1"/>
    <col min="26" max="26" width="19.875" style="2" bestFit="1" customWidth="1"/>
    <col min="27" max="27" width="12.25" style="2" bestFit="1" customWidth="1"/>
    <col min="28" max="16384" width="9.125" style="2"/>
  </cols>
  <sheetData>
    <row r="1" spans="1:29" x14ac:dyDescent="0.25">
      <c r="A1" s="2" t="s">
        <v>231</v>
      </c>
    </row>
    <row r="3" spans="1:29" x14ac:dyDescent="0.25">
      <c r="B3" s="2" t="s">
        <v>0</v>
      </c>
      <c r="G3" s="2" t="s">
        <v>96</v>
      </c>
      <c r="M3" s="1" t="s">
        <v>97</v>
      </c>
      <c r="R3" s="1" t="s">
        <v>172</v>
      </c>
      <c r="V3" s="1" t="s">
        <v>221</v>
      </c>
    </row>
    <row r="4" spans="1:29" ht="50.1" customHeight="1" x14ac:dyDescent="0.25">
      <c r="B4" s="5" t="s">
        <v>1</v>
      </c>
      <c r="C4" s="5" t="s">
        <v>2</v>
      </c>
      <c r="D4" s="5" t="s">
        <v>3</v>
      </c>
      <c r="E4" s="5" t="s">
        <v>4</v>
      </c>
      <c r="G4" s="5" t="s">
        <v>33</v>
      </c>
      <c r="H4" s="5" t="s">
        <v>34</v>
      </c>
      <c r="I4" s="5" t="s">
        <v>35</v>
      </c>
      <c r="J4" s="5" t="s">
        <v>36</v>
      </c>
      <c r="K4" s="5" t="s">
        <v>37</v>
      </c>
      <c r="M4" s="5" t="s">
        <v>98</v>
      </c>
      <c r="N4" s="5" t="s">
        <v>99</v>
      </c>
      <c r="O4" s="5" t="s">
        <v>100</v>
      </c>
      <c r="P4" s="5" t="s">
        <v>101</v>
      </c>
      <c r="R4" s="3" t="s">
        <v>173</v>
      </c>
      <c r="S4" s="3" t="s">
        <v>99</v>
      </c>
      <c r="T4" s="3" t="s">
        <v>174</v>
      </c>
      <c r="V4" s="3" t="s">
        <v>222</v>
      </c>
      <c r="W4" s="3" t="s">
        <v>223</v>
      </c>
      <c r="X4" s="3" t="s">
        <v>98</v>
      </c>
      <c r="Y4" s="3" t="s">
        <v>173</v>
      </c>
      <c r="Z4" s="3" t="s">
        <v>224</v>
      </c>
      <c r="AA4" s="3" t="s">
        <v>225</v>
      </c>
      <c r="AB4" s="3" t="s">
        <v>356</v>
      </c>
      <c r="AC4" s="3" t="s">
        <v>357</v>
      </c>
    </row>
    <row r="5" spans="1:29" x14ac:dyDescent="0.25">
      <c r="B5" s="2" t="s">
        <v>305</v>
      </c>
      <c r="C5" s="2">
        <v>2</v>
      </c>
      <c r="D5" s="2">
        <v>1</v>
      </c>
      <c r="E5" s="2">
        <v>-3</v>
      </c>
      <c r="G5" s="2" t="s">
        <v>38</v>
      </c>
      <c r="H5" s="2" t="s">
        <v>39</v>
      </c>
      <c r="I5" s="2">
        <v>0</v>
      </c>
      <c r="J5" s="2">
        <v>0</v>
      </c>
      <c r="K5" s="2" t="s">
        <v>40</v>
      </c>
      <c r="M5" s="4" t="s">
        <v>276</v>
      </c>
      <c r="N5" s="2" t="s">
        <v>103</v>
      </c>
      <c r="O5" s="2" t="s">
        <v>50</v>
      </c>
      <c r="R5" s="2" t="s">
        <v>175</v>
      </c>
      <c r="S5" s="2" t="s">
        <v>176</v>
      </c>
      <c r="T5" s="2" t="s">
        <v>53</v>
      </c>
      <c r="V5" s="12" t="s">
        <v>102</v>
      </c>
      <c r="W5" s="12" t="s">
        <v>38</v>
      </c>
      <c r="X5" s="12" t="s">
        <v>80</v>
      </c>
      <c r="Y5" s="12" t="s">
        <v>182</v>
      </c>
      <c r="Z5" s="12" t="s">
        <v>226</v>
      </c>
      <c r="AA5" s="12" t="s">
        <v>228</v>
      </c>
      <c r="AB5" s="2" t="str">
        <f>RIGHT(ScaleAssignmentRules[[#This Row],[DegreeIntervalID]],1)</f>
        <v>1</v>
      </c>
      <c r="AC5" s="12"/>
    </row>
    <row r="6" spans="1:29" x14ac:dyDescent="0.25">
      <c r="B6" s="2" t="s">
        <v>306</v>
      </c>
      <c r="C6" s="2">
        <v>3</v>
      </c>
      <c r="D6" s="2">
        <v>2</v>
      </c>
      <c r="E6" s="2">
        <v>-3</v>
      </c>
      <c r="G6" s="2" t="s">
        <v>41</v>
      </c>
      <c r="H6" s="2" t="s">
        <v>42</v>
      </c>
      <c r="I6" s="2">
        <v>1</v>
      </c>
      <c r="J6" s="2">
        <v>1</v>
      </c>
      <c r="K6" s="2" t="s">
        <v>43</v>
      </c>
      <c r="M6" s="2" t="s">
        <v>104</v>
      </c>
      <c r="N6" s="2" t="s">
        <v>105</v>
      </c>
      <c r="O6" s="2" t="s">
        <v>47</v>
      </c>
      <c r="P6" s="2" t="s">
        <v>104</v>
      </c>
      <c r="R6" s="2" t="s">
        <v>177</v>
      </c>
      <c r="S6" s="2" t="s">
        <v>178</v>
      </c>
      <c r="V6" s="12" t="s">
        <v>102</v>
      </c>
      <c r="W6" s="12" t="s">
        <v>38</v>
      </c>
      <c r="X6" s="12" t="s">
        <v>80</v>
      </c>
      <c r="Y6" s="12" t="s">
        <v>212</v>
      </c>
      <c r="Z6" s="12" t="s">
        <v>226</v>
      </c>
      <c r="AA6" s="12" t="s">
        <v>228</v>
      </c>
      <c r="AB6" s="2" t="str">
        <f>RIGHT(ScaleAssignmentRules[[#This Row],[DegreeIntervalID]],1)</f>
        <v>1</v>
      </c>
      <c r="AC6" s="12"/>
    </row>
    <row r="7" spans="1:29" x14ac:dyDescent="0.25">
      <c r="B7" s="2" t="s">
        <v>307</v>
      </c>
      <c r="C7" s="2">
        <v>4</v>
      </c>
      <c r="D7" s="2">
        <v>4</v>
      </c>
      <c r="E7" s="2">
        <v>-3</v>
      </c>
      <c r="G7" s="2" t="s">
        <v>44</v>
      </c>
      <c r="H7" s="2" t="s">
        <v>45</v>
      </c>
      <c r="I7" s="2">
        <v>2</v>
      </c>
      <c r="J7" s="2">
        <v>1</v>
      </c>
      <c r="K7" s="2" t="s">
        <v>46</v>
      </c>
      <c r="M7" s="2" t="s">
        <v>106</v>
      </c>
      <c r="N7" s="2" t="s">
        <v>107</v>
      </c>
      <c r="O7" s="2" t="s">
        <v>108</v>
      </c>
      <c r="P7" s="2" t="s">
        <v>106</v>
      </c>
      <c r="R7" s="2" t="s">
        <v>179</v>
      </c>
      <c r="S7" s="2" t="s">
        <v>180</v>
      </c>
      <c r="T7" s="2" t="s">
        <v>181</v>
      </c>
      <c r="V7" s="12" t="s">
        <v>102</v>
      </c>
      <c r="W7" s="12" t="s">
        <v>38</v>
      </c>
      <c r="X7" s="12" t="s">
        <v>171</v>
      </c>
      <c r="Y7" s="12" t="s">
        <v>184</v>
      </c>
      <c r="Z7" s="12" t="s">
        <v>8</v>
      </c>
      <c r="AA7" s="12" t="s">
        <v>227</v>
      </c>
      <c r="AB7" s="2" t="str">
        <f>RIGHT(ScaleAssignmentRules[[#This Row],[DegreeIntervalID]],1)</f>
        <v>1</v>
      </c>
      <c r="AC7" s="12"/>
    </row>
    <row r="8" spans="1:29" x14ac:dyDescent="0.25">
      <c r="B8" s="2" t="s">
        <v>308</v>
      </c>
      <c r="C8" s="2">
        <v>5</v>
      </c>
      <c r="D8" s="2">
        <v>6</v>
      </c>
      <c r="E8" s="2">
        <v>-3</v>
      </c>
      <c r="G8" s="2" t="s">
        <v>47</v>
      </c>
      <c r="H8" s="2" t="s">
        <v>48</v>
      </c>
      <c r="I8" s="2">
        <v>3</v>
      </c>
      <c r="J8" s="2">
        <v>2</v>
      </c>
      <c r="K8" s="2" t="s">
        <v>49</v>
      </c>
      <c r="M8" s="2" t="s">
        <v>109</v>
      </c>
      <c r="N8" s="2" t="s">
        <v>110</v>
      </c>
      <c r="O8" s="2" t="s">
        <v>111</v>
      </c>
      <c r="P8" s="2" t="s">
        <v>109</v>
      </c>
      <c r="R8" s="2" t="s">
        <v>182</v>
      </c>
      <c r="S8" s="2" t="s">
        <v>183</v>
      </c>
      <c r="V8" s="12" t="s">
        <v>102</v>
      </c>
      <c r="W8" s="12" t="s">
        <v>354</v>
      </c>
      <c r="X8" s="12" t="s">
        <v>140</v>
      </c>
      <c r="Y8" s="12" t="s">
        <v>206</v>
      </c>
      <c r="Z8" s="12" t="s">
        <v>8</v>
      </c>
      <c r="AA8" s="12" t="s">
        <v>227</v>
      </c>
      <c r="AB8" s="2" t="str">
        <f>RIGHT(ScaleAssignmentRules[[#This Row],[DegreeIntervalID]],1)</f>
        <v>1</v>
      </c>
      <c r="AC8" s="12"/>
    </row>
    <row r="9" spans="1:29" x14ac:dyDescent="0.25">
      <c r="B9" s="2" t="s">
        <v>309</v>
      </c>
      <c r="C9" s="2">
        <v>6</v>
      </c>
      <c r="D9" s="2">
        <v>8</v>
      </c>
      <c r="E9" s="2">
        <v>-3</v>
      </c>
      <c r="G9" s="2" t="s">
        <v>50</v>
      </c>
      <c r="H9" s="2" t="s">
        <v>51</v>
      </c>
      <c r="I9" s="2">
        <v>4</v>
      </c>
      <c r="J9" s="2">
        <v>2</v>
      </c>
      <c r="K9" s="2" t="s">
        <v>52</v>
      </c>
      <c r="M9" s="2" t="s">
        <v>112</v>
      </c>
      <c r="N9" s="2" t="s">
        <v>113</v>
      </c>
      <c r="O9" s="2" t="s">
        <v>53</v>
      </c>
      <c r="P9" s="2" t="s">
        <v>112</v>
      </c>
      <c r="R9" s="2" t="s">
        <v>184</v>
      </c>
      <c r="S9" s="2" t="s">
        <v>185</v>
      </c>
      <c r="T9" s="2" t="s">
        <v>53</v>
      </c>
      <c r="V9" s="12" t="s">
        <v>102</v>
      </c>
      <c r="W9" s="12" t="s">
        <v>38</v>
      </c>
      <c r="X9" s="12" t="s">
        <v>71</v>
      </c>
      <c r="Y9" s="12" t="s">
        <v>175</v>
      </c>
      <c r="Z9" s="12" t="s">
        <v>226</v>
      </c>
      <c r="AA9" s="12" t="s">
        <v>227</v>
      </c>
      <c r="AB9" s="2" t="str">
        <f>RIGHT(ScaleAssignmentRules[[#This Row],[DegreeIntervalID]],1)</f>
        <v>1</v>
      </c>
      <c r="AC9" s="12"/>
    </row>
    <row r="10" spans="1:29" x14ac:dyDescent="0.25">
      <c r="B10" s="2" t="s">
        <v>303</v>
      </c>
      <c r="C10" s="2">
        <v>0</v>
      </c>
      <c r="D10" s="2">
        <v>9</v>
      </c>
      <c r="E10" s="2">
        <v>-3</v>
      </c>
      <c r="G10" s="2" t="s">
        <v>53</v>
      </c>
      <c r="H10" s="2" t="s">
        <v>54</v>
      </c>
      <c r="I10" s="2">
        <v>5</v>
      </c>
      <c r="J10" s="2">
        <v>3</v>
      </c>
      <c r="K10" s="2" t="s">
        <v>55</v>
      </c>
      <c r="M10" s="2" t="s">
        <v>265</v>
      </c>
      <c r="N10" s="2" t="s">
        <v>114</v>
      </c>
      <c r="O10" s="2" t="s">
        <v>115</v>
      </c>
      <c r="P10" s="2" t="s">
        <v>265</v>
      </c>
      <c r="R10" s="2" t="s">
        <v>186</v>
      </c>
      <c r="S10" s="2" t="s">
        <v>187</v>
      </c>
      <c r="T10" s="2" t="s">
        <v>68</v>
      </c>
      <c r="V10" s="12" t="s">
        <v>102</v>
      </c>
      <c r="W10" s="12" t="s">
        <v>38</v>
      </c>
      <c r="X10" s="12" t="s">
        <v>269</v>
      </c>
      <c r="Y10" s="12" t="s">
        <v>175</v>
      </c>
      <c r="Z10" s="12" t="s">
        <v>226</v>
      </c>
      <c r="AA10" s="12" t="s">
        <v>227</v>
      </c>
      <c r="AB10" s="2" t="str">
        <f>RIGHT(ScaleAssignmentRules[[#This Row],[DegreeIntervalID]],1)</f>
        <v>1</v>
      </c>
      <c r="AC10" s="12"/>
    </row>
    <row r="11" spans="1:29" x14ac:dyDescent="0.25">
      <c r="B11" s="2" t="s">
        <v>304</v>
      </c>
      <c r="C11" s="2">
        <v>1</v>
      </c>
      <c r="D11" s="2">
        <v>11</v>
      </c>
      <c r="E11" s="2">
        <v>-3</v>
      </c>
      <c r="G11" s="2" t="s">
        <v>56</v>
      </c>
      <c r="H11" s="2" t="s">
        <v>57</v>
      </c>
      <c r="I11" s="2">
        <v>6</v>
      </c>
      <c r="J11" s="2">
        <v>3</v>
      </c>
      <c r="K11" s="2" t="s">
        <v>58</v>
      </c>
      <c r="M11" s="2" t="s">
        <v>266</v>
      </c>
      <c r="N11" s="2" t="s">
        <v>116</v>
      </c>
      <c r="O11" s="2" t="s">
        <v>117</v>
      </c>
      <c r="P11" s="2" t="s">
        <v>169</v>
      </c>
      <c r="R11" s="2" t="s">
        <v>188</v>
      </c>
      <c r="S11" s="2" t="s">
        <v>189</v>
      </c>
      <c r="T11" s="2" t="s">
        <v>41</v>
      </c>
      <c r="V11" s="12" t="s">
        <v>102</v>
      </c>
      <c r="W11" s="12" t="s">
        <v>38</v>
      </c>
      <c r="X11" s="12" t="s">
        <v>80</v>
      </c>
      <c r="Y11" s="12" t="s">
        <v>175</v>
      </c>
      <c r="Z11" s="12" t="s">
        <v>226</v>
      </c>
      <c r="AA11" s="12" t="s">
        <v>227</v>
      </c>
      <c r="AB11" s="2" t="str">
        <f>RIGHT(ScaleAssignmentRules[[#This Row],[DegreeIntervalID]],1)</f>
        <v>1</v>
      </c>
      <c r="AC11" s="12"/>
    </row>
    <row r="12" spans="1:29" x14ac:dyDescent="0.25">
      <c r="B12" s="2" t="s">
        <v>280</v>
      </c>
      <c r="C12" s="2">
        <v>1</v>
      </c>
      <c r="D12" s="2">
        <v>0</v>
      </c>
      <c r="E12" s="2">
        <v>-2</v>
      </c>
      <c r="G12" s="2" t="s">
        <v>59</v>
      </c>
      <c r="H12" s="2" t="s">
        <v>60</v>
      </c>
      <c r="I12" s="2">
        <v>6</v>
      </c>
      <c r="J12" s="2">
        <v>4</v>
      </c>
      <c r="K12" s="2" t="s">
        <v>61</v>
      </c>
      <c r="M12" s="2" t="s">
        <v>268</v>
      </c>
      <c r="N12" s="2" t="s">
        <v>118</v>
      </c>
      <c r="O12" s="2" t="s">
        <v>119</v>
      </c>
      <c r="P12" s="2" t="s">
        <v>268</v>
      </c>
      <c r="R12" s="2" t="s">
        <v>190</v>
      </c>
      <c r="S12" s="2" t="s">
        <v>191</v>
      </c>
      <c r="V12" s="12" t="s">
        <v>102</v>
      </c>
      <c r="W12" s="12" t="s">
        <v>38</v>
      </c>
      <c r="X12" s="12" t="s">
        <v>267</v>
      </c>
      <c r="Y12" s="12" t="s">
        <v>175</v>
      </c>
      <c r="Z12" s="12" t="s">
        <v>226</v>
      </c>
      <c r="AA12" s="12" t="s">
        <v>227</v>
      </c>
      <c r="AB12" s="2" t="str">
        <f>RIGHT(ScaleAssignmentRules[[#This Row],[DegreeIntervalID]],1)</f>
        <v>1</v>
      </c>
      <c r="AC12" s="12"/>
    </row>
    <row r="13" spans="1:29" x14ac:dyDescent="0.25">
      <c r="B13" s="2" t="s">
        <v>32</v>
      </c>
      <c r="C13" s="2">
        <v>2</v>
      </c>
      <c r="D13" s="2">
        <v>2</v>
      </c>
      <c r="E13" s="2">
        <v>-2</v>
      </c>
      <c r="G13" s="2" t="s">
        <v>62</v>
      </c>
      <c r="H13" s="2" t="s">
        <v>63</v>
      </c>
      <c r="I13" s="2">
        <v>7</v>
      </c>
      <c r="J13" s="2">
        <v>4</v>
      </c>
      <c r="K13" s="2" t="s">
        <v>64</v>
      </c>
      <c r="M13" s="2" t="s">
        <v>270</v>
      </c>
      <c r="N13" s="2" t="s">
        <v>120</v>
      </c>
      <c r="O13" s="2" t="s">
        <v>121</v>
      </c>
      <c r="P13" s="2" t="s">
        <v>170</v>
      </c>
      <c r="R13" s="2" t="s">
        <v>192</v>
      </c>
      <c r="S13" s="2" t="s">
        <v>193</v>
      </c>
      <c r="V13" s="12" t="s">
        <v>102</v>
      </c>
      <c r="W13" s="12" t="s">
        <v>38</v>
      </c>
      <c r="X13" s="13"/>
      <c r="Y13" s="12" t="s">
        <v>175</v>
      </c>
      <c r="Z13" s="12" t="s">
        <v>226</v>
      </c>
      <c r="AA13" s="12" t="s">
        <v>227</v>
      </c>
      <c r="AB13" s="2" t="str">
        <f>RIGHT(ScaleAssignmentRules[[#This Row],[DegreeIntervalID]],1)</f>
        <v>1</v>
      </c>
      <c r="AC13" s="12"/>
    </row>
    <row r="14" spans="1:29" x14ac:dyDescent="0.25">
      <c r="B14" s="2" t="s">
        <v>281</v>
      </c>
      <c r="C14" s="2">
        <v>3</v>
      </c>
      <c r="D14" s="2">
        <v>3</v>
      </c>
      <c r="E14" s="2">
        <v>-2</v>
      </c>
      <c r="G14" s="2" t="s">
        <v>65</v>
      </c>
      <c r="H14" s="2" t="s">
        <v>66</v>
      </c>
      <c r="I14" s="2">
        <v>8</v>
      </c>
      <c r="J14" s="2">
        <v>4</v>
      </c>
      <c r="K14" s="2" t="s">
        <v>67</v>
      </c>
      <c r="M14" s="2" t="s">
        <v>272</v>
      </c>
      <c r="N14" s="2" t="s">
        <v>122</v>
      </c>
      <c r="O14" s="2" t="s">
        <v>123</v>
      </c>
      <c r="P14" s="2" t="s">
        <v>272</v>
      </c>
      <c r="R14" s="2" t="s">
        <v>194</v>
      </c>
      <c r="S14" s="2" t="s">
        <v>195</v>
      </c>
      <c r="V14" s="12" t="s">
        <v>102</v>
      </c>
      <c r="W14" s="12" t="s">
        <v>44</v>
      </c>
      <c r="X14" s="12" t="s">
        <v>77</v>
      </c>
      <c r="Y14" s="12" t="s">
        <v>186</v>
      </c>
      <c r="Z14" s="12" t="s">
        <v>229</v>
      </c>
      <c r="AA14" s="12" t="s">
        <v>228</v>
      </c>
      <c r="AB14" s="2" t="str">
        <f>RIGHT(ScaleAssignmentRules[[#This Row],[DegreeIntervalID]],1)</f>
        <v>2</v>
      </c>
      <c r="AC14" s="12"/>
    </row>
    <row r="15" spans="1:29" x14ac:dyDescent="0.25">
      <c r="B15" s="2" t="s">
        <v>282</v>
      </c>
      <c r="C15" s="2">
        <v>4</v>
      </c>
      <c r="D15" s="2">
        <v>5</v>
      </c>
      <c r="E15" s="2">
        <v>-2</v>
      </c>
      <c r="G15" s="2" t="s">
        <v>68</v>
      </c>
      <c r="H15" s="2" t="s">
        <v>69</v>
      </c>
      <c r="I15" s="2">
        <v>8</v>
      </c>
      <c r="J15" s="2">
        <v>5</v>
      </c>
      <c r="K15" s="2" t="s">
        <v>70</v>
      </c>
      <c r="M15" s="2" t="s">
        <v>273</v>
      </c>
      <c r="N15" s="2" t="s">
        <v>124</v>
      </c>
      <c r="O15" s="2" t="s">
        <v>125</v>
      </c>
      <c r="P15" s="2" t="s">
        <v>273</v>
      </c>
      <c r="R15" s="2" t="s">
        <v>196</v>
      </c>
      <c r="S15" s="2" t="s">
        <v>197</v>
      </c>
      <c r="V15" s="12" t="s">
        <v>102</v>
      </c>
      <c r="W15" s="12" t="s">
        <v>41</v>
      </c>
      <c r="X15" s="12">
        <v>7</v>
      </c>
      <c r="Y15" s="12" t="s">
        <v>196</v>
      </c>
      <c r="Z15" s="12" t="s">
        <v>8</v>
      </c>
      <c r="AA15" s="12" t="s">
        <v>227</v>
      </c>
      <c r="AB15" s="2" t="str">
        <f>RIGHT(ScaleAssignmentRules[[#This Row],[DegreeIntervalID]],1)</f>
        <v>2</v>
      </c>
      <c r="AC15" s="12"/>
    </row>
    <row r="16" spans="1:29" x14ac:dyDescent="0.25">
      <c r="B16" s="2" t="s">
        <v>283</v>
      </c>
      <c r="C16" s="2">
        <v>5</v>
      </c>
      <c r="D16" s="2">
        <v>7</v>
      </c>
      <c r="E16" s="2">
        <v>-2</v>
      </c>
      <c r="G16" s="2" t="s">
        <v>71</v>
      </c>
      <c r="H16" s="2" t="s">
        <v>72</v>
      </c>
      <c r="I16" s="2">
        <v>9</v>
      </c>
      <c r="J16" s="2">
        <v>5</v>
      </c>
      <c r="K16" s="2" t="s">
        <v>73</v>
      </c>
      <c r="M16" s="2" t="s">
        <v>77</v>
      </c>
      <c r="N16" s="2" t="s">
        <v>126</v>
      </c>
      <c r="O16" s="2" t="s">
        <v>127</v>
      </c>
      <c r="P16" s="2" t="s">
        <v>77</v>
      </c>
      <c r="R16" s="2" t="s">
        <v>198</v>
      </c>
      <c r="S16" s="2" t="s">
        <v>199</v>
      </c>
      <c r="T16" s="2" t="s">
        <v>53</v>
      </c>
      <c r="V16" s="12" t="s">
        <v>102</v>
      </c>
      <c r="W16" s="12" t="s">
        <v>44</v>
      </c>
      <c r="X16" s="12" t="s">
        <v>171</v>
      </c>
      <c r="Y16" s="12" t="s">
        <v>184</v>
      </c>
      <c r="Z16" s="12" t="s">
        <v>8</v>
      </c>
      <c r="AA16" s="12" t="s">
        <v>227</v>
      </c>
      <c r="AB16" s="2" t="str">
        <f>RIGHT(ScaleAssignmentRules[[#This Row],[DegreeIntervalID]],1)</f>
        <v>2</v>
      </c>
      <c r="AC16" s="12"/>
    </row>
    <row r="17" spans="2:29" x14ac:dyDescent="0.25">
      <c r="B17" s="2" t="s">
        <v>31</v>
      </c>
      <c r="C17" s="2">
        <v>6</v>
      </c>
      <c r="D17" s="2">
        <v>9</v>
      </c>
      <c r="E17" s="2">
        <v>-2</v>
      </c>
      <c r="G17" s="2" t="s">
        <v>74</v>
      </c>
      <c r="H17" s="2" t="s">
        <v>75</v>
      </c>
      <c r="I17" s="2">
        <v>9</v>
      </c>
      <c r="J17" s="2">
        <v>6</v>
      </c>
      <c r="K17" s="2" t="s">
        <v>76</v>
      </c>
      <c r="M17" s="2" t="s">
        <v>68</v>
      </c>
      <c r="N17" s="2" t="s">
        <v>128</v>
      </c>
      <c r="O17" s="2" t="s">
        <v>129</v>
      </c>
      <c r="P17" s="2" t="s">
        <v>68</v>
      </c>
      <c r="R17" s="2" t="s">
        <v>200</v>
      </c>
      <c r="S17" s="2" t="s">
        <v>201</v>
      </c>
      <c r="V17" s="12" t="s">
        <v>102</v>
      </c>
      <c r="W17" s="12" t="s">
        <v>355</v>
      </c>
      <c r="X17" s="12" t="s">
        <v>140</v>
      </c>
      <c r="Y17" s="12" t="s">
        <v>206</v>
      </c>
      <c r="Z17" s="12" t="s">
        <v>8</v>
      </c>
      <c r="AA17" s="12" t="s">
        <v>227</v>
      </c>
      <c r="AB17" s="2" t="str">
        <f>RIGHT(ScaleAssignmentRules[[#This Row],[DegreeIntervalID]],1)</f>
        <v>2</v>
      </c>
      <c r="AC17" s="12"/>
    </row>
    <row r="18" spans="2:29" x14ac:dyDescent="0.25">
      <c r="B18" s="2" t="s">
        <v>284</v>
      </c>
      <c r="C18" s="2">
        <v>0</v>
      </c>
      <c r="D18" s="2">
        <v>10</v>
      </c>
      <c r="E18" s="2">
        <v>-2</v>
      </c>
      <c r="G18" s="2" t="s">
        <v>77</v>
      </c>
      <c r="H18" s="2" t="s">
        <v>78</v>
      </c>
      <c r="I18" s="2">
        <v>10</v>
      </c>
      <c r="J18" s="2">
        <v>6</v>
      </c>
      <c r="K18" s="2" t="s">
        <v>79</v>
      </c>
      <c r="M18" s="2" t="s">
        <v>130</v>
      </c>
      <c r="N18" s="2" t="s">
        <v>131</v>
      </c>
      <c r="O18" s="2" t="s">
        <v>132</v>
      </c>
      <c r="P18" s="2" t="s">
        <v>130</v>
      </c>
      <c r="R18" s="2" t="s">
        <v>202</v>
      </c>
      <c r="S18" s="2" t="s">
        <v>203</v>
      </c>
      <c r="V18" s="12" t="s">
        <v>102</v>
      </c>
      <c r="W18" s="12" t="s">
        <v>44</v>
      </c>
      <c r="X18" s="12" t="s">
        <v>104</v>
      </c>
      <c r="Y18" s="12" t="s">
        <v>177</v>
      </c>
      <c r="Z18" s="12" t="s">
        <v>229</v>
      </c>
      <c r="AA18" s="12" t="s">
        <v>227</v>
      </c>
      <c r="AB18" s="2" t="str">
        <f>RIGHT(ScaleAssignmentRules[[#This Row],[DegreeIntervalID]],1)</f>
        <v>2</v>
      </c>
      <c r="AC18" s="12"/>
    </row>
    <row r="19" spans="2:29" x14ac:dyDescent="0.25">
      <c r="B19" s="2" t="s">
        <v>7</v>
      </c>
      <c r="C19" s="2">
        <v>1</v>
      </c>
      <c r="D19" s="2">
        <v>1</v>
      </c>
      <c r="E19" s="2">
        <v>-1</v>
      </c>
      <c r="G19" s="2" t="s">
        <v>80</v>
      </c>
      <c r="H19" s="2" t="s">
        <v>81</v>
      </c>
      <c r="I19" s="2">
        <v>11</v>
      </c>
      <c r="J19" s="2">
        <v>6</v>
      </c>
      <c r="K19" s="2" t="s">
        <v>82</v>
      </c>
      <c r="M19" s="2" t="s">
        <v>133</v>
      </c>
      <c r="N19" s="2" t="s">
        <v>134</v>
      </c>
      <c r="O19" s="2" t="s">
        <v>135</v>
      </c>
      <c r="P19" s="2" t="s">
        <v>133</v>
      </c>
      <c r="R19" s="2" t="s">
        <v>204</v>
      </c>
      <c r="S19" s="2" t="s">
        <v>205</v>
      </c>
      <c r="V19" s="12" t="s">
        <v>102</v>
      </c>
      <c r="W19" s="12" t="s">
        <v>44</v>
      </c>
      <c r="X19" s="12" t="s">
        <v>133</v>
      </c>
      <c r="Y19" s="12" t="s">
        <v>177</v>
      </c>
      <c r="Z19" s="12" t="s">
        <v>229</v>
      </c>
      <c r="AA19" s="12" t="s">
        <v>227</v>
      </c>
      <c r="AB19" s="2" t="str">
        <f>RIGHT(ScaleAssignmentRules[[#This Row],[DegreeIntervalID]],1)</f>
        <v>2</v>
      </c>
      <c r="AC19" s="12"/>
    </row>
    <row r="20" spans="2:29" x14ac:dyDescent="0.25">
      <c r="B20" s="2" t="s">
        <v>10</v>
      </c>
      <c r="C20" s="2">
        <v>2</v>
      </c>
      <c r="D20" s="2">
        <v>3</v>
      </c>
      <c r="E20" s="2">
        <v>-1</v>
      </c>
      <c r="G20" s="2" t="s">
        <v>83</v>
      </c>
      <c r="H20" s="2" t="s">
        <v>84</v>
      </c>
      <c r="I20" s="2">
        <v>12</v>
      </c>
      <c r="J20" s="2">
        <v>7</v>
      </c>
      <c r="K20" s="2" t="s">
        <v>40</v>
      </c>
      <c r="M20" s="2" t="s">
        <v>275</v>
      </c>
      <c r="N20" s="2" t="s">
        <v>136</v>
      </c>
      <c r="O20" s="2" t="s">
        <v>137</v>
      </c>
      <c r="P20" s="2" t="s">
        <v>275</v>
      </c>
      <c r="R20" s="2" t="s">
        <v>206</v>
      </c>
      <c r="S20" s="2" t="s">
        <v>207</v>
      </c>
      <c r="V20" s="12" t="s">
        <v>102</v>
      </c>
      <c r="W20" s="12" t="s">
        <v>44</v>
      </c>
      <c r="X20" s="12" t="s">
        <v>68</v>
      </c>
      <c r="Y20" s="12" t="s">
        <v>177</v>
      </c>
      <c r="Z20" s="12" t="s">
        <v>229</v>
      </c>
      <c r="AA20" s="12" t="s">
        <v>227</v>
      </c>
      <c r="AB20" s="2" t="str">
        <f>RIGHT(ScaleAssignmentRules[[#This Row],[DegreeIntervalID]],1)</f>
        <v>2</v>
      </c>
      <c r="AC20" s="12"/>
    </row>
    <row r="21" spans="2:29" x14ac:dyDescent="0.25">
      <c r="B21" s="2" t="s">
        <v>25</v>
      </c>
      <c r="C21" s="2">
        <v>3</v>
      </c>
      <c r="D21" s="2">
        <v>4</v>
      </c>
      <c r="E21" s="2">
        <v>-1</v>
      </c>
      <c r="G21" s="2" t="s">
        <v>85</v>
      </c>
      <c r="H21" s="2" t="s">
        <v>86</v>
      </c>
      <c r="I21" s="2">
        <v>13</v>
      </c>
      <c r="J21" s="2">
        <v>8</v>
      </c>
      <c r="M21" s="2" t="s">
        <v>138</v>
      </c>
      <c r="N21" s="2" t="s">
        <v>139</v>
      </c>
      <c r="O21" s="2" t="s">
        <v>127</v>
      </c>
      <c r="P21" s="2" t="s">
        <v>138</v>
      </c>
      <c r="R21" s="2" t="s">
        <v>208</v>
      </c>
      <c r="S21" s="2" t="s">
        <v>209</v>
      </c>
      <c r="V21" s="12" t="s">
        <v>102</v>
      </c>
      <c r="W21" s="12" t="s">
        <v>41</v>
      </c>
      <c r="X21" s="12" t="s">
        <v>80</v>
      </c>
      <c r="Y21" s="12" t="s">
        <v>182</v>
      </c>
      <c r="Z21" s="12" t="s">
        <v>229</v>
      </c>
      <c r="AA21" s="12" t="s">
        <v>227</v>
      </c>
      <c r="AB21" s="2" t="str">
        <f>RIGHT(ScaleAssignmentRules[[#This Row],[DegreeIntervalID]],1)</f>
        <v>2</v>
      </c>
      <c r="AC21" s="12"/>
    </row>
    <row r="22" spans="2:29" x14ac:dyDescent="0.25">
      <c r="B22" s="2" t="s">
        <v>14</v>
      </c>
      <c r="C22" s="2">
        <v>4</v>
      </c>
      <c r="D22" s="2">
        <v>6</v>
      </c>
      <c r="E22" s="2">
        <v>-1</v>
      </c>
      <c r="G22" s="2" t="s">
        <v>166</v>
      </c>
      <c r="H22" s="2" t="s">
        <v>87</v>
      </c>
      <c r="I22" s="2">
        <v>14</v>
      </c>
      <c r="J22" s="2">
        <v>8</v>
      </c>
      <c r="M22" s="2" t="s">
        <v>140</v>
      </c>
      <c r="N22" s="2" t="s">
        <v>141</v>
      </c>
      <c r="O22" s="2" t="s">
        <v>142</v>
      </c>
      <c r="P22" s="2" t="s">
        <v>140</v>
      </c>
      <c r="R22" s="2" t="s">
        <v>210</v>
      </c>
      <c r="S22" s="2" t="s">
        <v>211</v>
      </c>
      <c r="T22" s="2" t="s">
        <v>181</v>
      </c>
      <c r="V22" s="12" t="s">
        <v>102</v>
      </c>
      <c r="W22" s="12" t="s">
        <v>44</v>
      </c>
      <c r="X22" s="12" t="s">
        <v>77</v>
      </c>
      <c r="Y22" s="12" t="s">
        <v>177</v>
      </c>
      <c r="Z22" s="12" t="s">
        <v>229</v>
      </c>
      <c r="AA22" s="12" t="s">
        <v>227</v>
      </c>
      <c r="AB22" s="2" t="str">
        <f>RIGHT(ScaleAssignmentRules[[#This Row],[DegreeIntervalID]],1)</f>
        <v>2</v>
      </c>
      <c r="AC22" s="12"/>
    </row>
    <row r="23" spans="2:29" x14ac:dyDescent="0.25">
      <c r="B23" s="2" t="s">
        <v>17</v>
      </c>
      <c r="C23" s="2">
        <v>5</v>
      </c>
      <c r="D23" s="2">
        <v>8</v>
      </c>
      <c r="E23" s="2">
        <v>-1</v>
      </c>
      <c r="G23" s="2" t="s">
        <v>88</v>
      </c>
      <c r="H23" s="2" t="s">
        <v>89</v>
      </c>
      <c r="I23" s="2">
        <v>15</v>
      </c>
      <c r="J23" s="2">
        <v>8</v>
      </c>
      <c r="M23" s="2" t="s">
        <v>171</v>
      </c>
      <c r="N23" s="2" t="s">
        <v>143</v>
      </c>
      <c r="O23" s="2" t="s">
        <v>144</v>
      </c>
      <c r="P23" s="2" t="s">
        <v>171</v>
      </c>
      <c r="R23" s="2" t="s">
        <v>212</v>
      </c>
      <c r="S23" s="2" t="s">
        <v>213</v>
      </c>
      <c r="V23" s="12" t="s">
        <v>102</v>
      </c>
      <c r="W23" s="12" t="s">
        <v>44</v>
      </c>
      <c r="X23" s="12" t="s">
        <v>130</v>
      </c>
      <c r="Y23" s="12" t="s">
        <v>177</v>
      </c>
      <c r="Z23" s="12" t="s">
        <v>229</v>
      </c>
      <c r="AA23" s="12" t="s">
        <v>227</v>
      </c>
      <c r="AB23" s="2" t="str">
        <f>RIGHT(ScaleAssignmentRules[[#This Row],[DegreeIntervalID]],1)</f>
        <v>2</v>
      </c>
      <c r="AC23" s="12"/>
    </row>
    <row r="24" spans="2:29" x14ac:dyDescent="0.25">
      <c r="B24" s="2" t="s">
        <v>20</v>
      </c>
      <c r="C24" s="2">
        <v>6</v>
      </c>
      <c r="D24" s="2">
        <v>10</v>
      </c>
      <c r="E24" s="2">
        <v>-1</v>
      </c>
      <c r="G24" s="2" t="s">
        <v>167</v>
      </c>
      <c r="H24" s="2" t="s">
        <v>90</v>
      </c>
      <c r="I24" s="2">
        <v>17</v>
      </c>
      <c r="J24" s="2">
        <v>10</v>
      </c>
      <c r="M24" s="2" t="s">
        <v>166</v>
      </c>
      <c r="N24" s="2" t="s">
        <v>145</v>
      </c>
      <c r="O24" s="2" t="s">
        <v>146</v>
      </c>
      <c r="P24" s="2" t="s">
        <v>166</v>
      </c>
      <c r="R24" s="2" t="s">
        <v>214</v>
      </c>
      <c r="S24" s="2" t="s">
        <v>211</v>
      </c>
      <c r="T24" s="2" t="s">
        <v>181</v>
      </c>
      <c r="V24" s="12" t="s">
        <v>102</v>
      </c>
      <c r="W24" s="12" t="s">
        <v>41</v>
      </c>
      <c r="X24" s="13"/>
      <c r="Y24" s="12" t="s">
        <v>182</v>
      </c>
      <c r="Z24" s="12" t="s">
        <v>229</v>
      </c>
      <c r="AA24" s="12" t="s">
        <v>227</v>
      </c>
      <c r="AB24" s="2" t="str">
        <f>RIGHT(ScaleAssignmentRules[[#This Row],[DegreeIntervalID]],1)</f>
        <v>2</v>
      </c>
      <c r="AC24" s="12"/>
    </row>
    <row r="25" spans="2:29" x14ac:dyDescent="0.25">
      <c r="B25" s="2" t="s">
        <v>22</v>
      </c>
      <c r="C25" s="2">
        <v>0</v>
      </c>
      <c r="D25" s="2">
        <v>11</v>
      </c>
      <c r="E25" s="2">
        <v>-1</v>
      </c>
      <c r="G25" s="2" t="s">
        <v>91</v>
      </c>
      <c r="H25" s="2" t="s">
        <v>92</v>
      </c>
      <c r="I25" s="2">
        <v>18</v>
      </c>
      <c r="J25" s="2">
        <v>10</v>
      </c>
      <c r="M25" s="2" t="s">
        <v>168</v>
      </c>
      <c r="N25" s="2" t="s">
        <v>147</v>
      </c>
      <c r="O25" s="2" t="s">
        <v>148</v>
      </c>
      <c r="P25" s="2" t="s">
        <v>168</v>
      </c>
      <c r="R25" s="2" t="s">
        <v>215</v>
      </c>
      <c r="S25" s="2" t="s">
        <v>216</v>
      </c>
      <c r="V25" s="12" t="s">
        <v>102</v>
      </c>
      <c r="W25" s="12" t="s">
        <v>50</v>
      </c>
      <c r="X25" s="12" t="s">
        <v>171</v>
      </c>
      <c r="Y25" s="12" t="s">
        <v>202</v>
      </c>
      <c r="Z25" s="12" t="s">
        <v>8</v>
      </c>
      <c r="AA25" s="12" t="s">
        <v>228</v>
      </c>
      <c r="AB25" s="2" t="str">
        <f>RIGHT(ScaleAssignmentRules[[#This Row],[DegreeIntervalID]],1)</f>
        <v>3</v>
      </c>
      <c r="AC25" s="12"/>
    </row>
    <row r="26" spans="2:29" x14ac:dyDescent="0.25">
      <c r="B26" s="2" t="s">
        <v>5</v>
      </c>
      <c r="C26" s="2">
        <v>0</v>
      </c>
      <c r="D26" s="2">
        <v>0</v>
      </c>
      <c r="E26" s="2">
        <v>0</v>
      </c>
      <c r="G26" s="2" t="s">
        <v>93</v>
      </c>
      <c r="H26" s="2" t="s">
        <v>94</v>
      </c>
      <c r="I26" s="2">
        <v>20</v>
      </c>
      <c r="J26" s="2">
        <v>12</v>
      </c>
      <c r="M26" s="2" t="s">
        <v>149</v>
      </c>
      <c r="N26" s="2" t="s">
        <v>150</v>
      </c>
      <c r="O26" s="2" t="s">
        <v>151</v>
      </c>
      <c r="P26" s="2" t="s">
        <v>149</v>
      </c>
      <c r="R26" s="2" t="s">
        <v>217</v>
      </c>
      <c r="S26" s="2" t="s">
        <v>218</v>
      </c>
      <c r="V26" s="12" t="s">
        <v>102</v>
      </c>
      <c r="W26" s="12" t="s">
        <v>47</v>
      </c>
      <c r="X26" s="12">
        <v>7</v>
      </c>
      <c r="Y26" s="12" t="s">
        <v>196</v>
      </c>
      <c r="Z26" s="12" t="s">
        <v>8</v>
      </c>
      <c r="AA26" s="12" t="s">
        <v>227</v>
      </c>
      <c r="AB26" s="2" t="str">
        <f>RIGHT(ScaleAssignmentRules[[#This Row],[DegreeIntervalID]],1)</f>
        <v>3</v>
      </c>
      <c r="AC26" s="12"/>
    </row>
    <row r="27" spans="2:29" x14ac:dyDescent="0.25">
      <c r="B27" s="2" t="s">
        <v>8</v>
      </c>
      <c r="C27" s="2">
        <v>1</v>
      </c>
      <c r="D27" s="2">
        <v>2</v>
      </c>
      <c r="E27" s="2">
        <v>0</v>
      </c>
      <c r="G27" s="2" t="s">
        <v>168</v>
      </c>
      <c r="H27" s="2" t="s">
        <v>95</v>
      </c>
      <c r="I27" s="2">
        <v>21</v>
      </c>
      <c r="J27" s="2">
        <v>12</v>
      </c>
      <c r="M27" s="2" t="s">
        <v>152</v>
      </c>
      <c r="N27" s="2" t="s">
        <v>153</v>
      </c>
      <c r="O27" s="2" t="s">
        <v>154</v>
      </c>
      <c r="P27" s="2" t="s">
        <v>152</v>
      </c>
      <c r="R27" s="2" t="s">
        <v>219</v>
      </c>
      <c r="S27" s="2" t="s">
        <v>220</v>
      </c>
      <c r="V27" s="12" t="s">
        <v>102</v>
      </c>
      <c r="W27" s="12" t="s">
        <v>50</v>
      </c>
      <c r="X27" s="12" t="s">
        <v>171</v>
      </c>
      <c r="Y27" s="12" t="s">
        <v>214</v>
      </c>
      <c r="Z27" s="12" t="s">
        <v>8</v>
      </c>
      <c r="AA27" s="12" t="s">
        <v>227</v>
      </c>
      <c r="AB27" s="2" t="str">
        <f>RIGHT(ScaleAssignmentRules[[#This Row],[DegreeIntervalID]],1)</f>
        <v>3</v>
      </c>
      <c r="AC27" s="12"/>
    </row>
    <row r="28" spans="2:29" x14ac:dyDescent="0.25">
      <c r="B28" s="2" t="s">
        <v>11</v>
      </c>
      <c r="C28" s="2">
        <v>2</v>
      </c>
      <c r="D28" s="2">
        <v>4</v>
      </c>
      <c r="E28" s="2">
        <v>0</v>
      </c>
      <c r="G28" s="2" t="s">
        <v>53</v>
      </c>
      <c r="H28" s="2" t="s">
        <v>279</v>
      </c>
      <c r="I28" s="2">
        <v>5</v>
      </c>
      <c r="J28" s="2">
        <v>2</v>
      </c>
      <c r="K28" s="2" t="s">
        <v>55</v>
      </c>
      <c r="M28" s="2" t="s">
        <v>155</v>
      </c>
      <c r="N28" s="2" t="s">
        <v>156</v>
      </c>
      <c r="O28" s="2" t="s">
        <v>157</v>
      </c>
      <c r="P28" s="2" t="s">
        <v>155</v>
      </c>
      <c r="V28" s="12" t="s">
        <v>102</v>
      </c>
      <c r="W28" s="12" t="s">
        <v>47</v>
      </c>
      <c r="X28" s="12" t="s">
        <v>140</v>
      </c>
      <c r="Y28" s="12" t="s">
        <v>206</v>
      </c>
      <c r="Z28" s="12" t="s">
        <v>8</v>
      </c>
      <c r="AA28" s="12" t="s">
        <v>227</v>
      </c>
      <c r="AB28" s="2" t="str">
        <f>RIGHT(ScaleAssignmentRules[[#This Row],[DegreeIntervalID]],1)</f>
        <v>3</v>
      </c>
      <c r="AC28" s="12"/>
    </row>
    <row r="29" spans="2:29" x14ac:dyDescent="0.25">
      <c r="B29" s="2" t="s">
        <v>12</v>
      </c>
      <c r="C29" s="2">
        <v>3</v>
      </c>
      <c r="D29" s="2">
        <v>5</v>
      </c>
      <c r="E29" s="2">
        <v>0</v>
      </c>
      <c r="G29" s="2" t="s">
        <v>285</v>
      </c>
      <c r="H29" s="2" t="s">
        <v>286</v>
      </c>
      <c r="I29" s="2">
        <v>4</v>
      </c>
      <c r="J29" s="2">
        <v>3</v>
      </c>
      <c r="K29" s="2" t="s">
        <v>287</v>
      </c>
      <c r="M29" s="2" t="s">
        <v>158</v>
      </c>
      <c r="N29" s="2" t="s">
        <v>159</v>
      </c>
      <c r="O29" s="2" t="s">
        <v>160</v>
      </c>
      <c r="P29" s="2" t="s">
        <v>158</v>
      </c>
      <c r="V29" s="12" t="s">
        <v>102</v>
      </c>
      <c r="W29" s="12" t="s">
        <v>50</v>
      </c>
      <c r="X29" s="12" t="s">
        <v>104</v>
      </c>
      <c r="Y29" s="12" t="s">
        <v>179</v>
      </c>
      <c r="Z29" s="12" t="s">
        <v>226</v>
      </c>
      <c r="AA29" s="12" t="s">
        <v>227</v>
      </c>
      <c r="AB29" s="2" t="str">
        <f>RIGHT(ScaleAssignmentRules[[#This Row],[DegreeIntervalID]],1)</f>
        <v>3</v>
      </c>
      <c r="AC29" s="12"/>
    </row>
    <row r="30" spans="2:29" x14ac:dyDescent="0.25">
      <c r="B30" s="2" t="s">
        <v>15</v>
      </c>
      <c r="C30" s="2">
        <v>4</v>
      </c>
      <c r="D30" s="2">
        <v>7</v>
      </c>
      <c r="E30" s="2">
        <v>0</v>
      </c>
      <c r="G30" s="2" t="s">
        <v>288</v>
      </c>
      <c r="H30" s="2" t="s">
        <v>289</v>
      </c>
      <c r="I30" s="2">
        <v>7</v>
      </c>
      <c r="J30" s="2">
        <v>5</v>
      </c>
      <c r="K30" s="2" t="s">
        <v>70</v>
      </c>
      <c r="M30" s="2" t="s">
        <v>161</v>
      </c>
      <c r="N30" s="2" t="s">
        <v>162</v>
      </c>
      <c r="O30" s="2" t="s">
        <v>163</v>
      </c>
      <c r="P30" s="2" t="s">
        <v>161</v>
      </c>
      <c r="V30" s="12" t="s">
        <v>102</v>
      </c>
      <c r="W30" s="12" t="s">
        <v>50</v>
      </c>
      <c r="X30" s="12" t="s">
        <v>77</v>
      </c>
      <c r="Y30" s="12" t="s">
        <v>179</v>
      </c>
      <c r="Z30" s="12" t="s">
        <v>226</v>
      </c>
      <c r="AA30" s="12" t="s">
        <v>227</v>
      </c>
      <c r="AB30" s="2" t="str">
        <f>RIGHT(ScaleAssignmentRules[[#This Row],[DegreeIntervalID]],1)</f>
        <v>3</v>
      </c>
      <c r="AC30" s="12"/>
    </row>
    <row r="31" spans="2:29" x14ac:dyDescent="0.25">
      <c r="B31" s="2" t="s">
        <v>18</v>
      </c>
      <c r="C31" s="2">
        <v>5</v>
      </c>
      <c r="D31" s="2">
        <v>9</v>
      </c>
      <c r="E31" s="2">
        <v>0</v>
      </c>
      <c r="G31" s="2" t="s">
        <v>290</v>
      </c>
      <c r="H31" s="2" t="s">
        <v>291</v>
      </c>
      <c r="I31" s="2">
        <v>2</v>
      </c>
      <c r="J31" s="2">
        <v>2</v>
      </c>
      <c r="K31" s="2" t="s">
        <v>292</v>
      </c>
      <c r="M31" s="2" t="s">
        <v>164</v>
      </c>
      <c r="N31" s="2" t="s">
        <v>165</v>
      </c>
      <c r="O31" s="2" t="s">
        <v>144</v>
      </c>
      <c r="P31" s="2" t="s">
        <v>164</v>
      </c>
      <c r="V31" s="12" t="s">
        <v>102</v>
      </c>
      <c r="W31" s="12" t="s">
        <v>53</v>
      </c>
      <c r="X31" s="12" t="s">
        <v>171</v>
      </c>
      <c r="Y31" s="12" t="s">
        <v>196</v>
      </c>
      <c r="Z31" s="12" t="s">
        <v>229</v>
      </c>
      <c r="AA31" s="12" t="s">
        <v>227</v>
      </c>
      <c r="AB31" s="2" t="str">
        <f>RIGHT(ScaleAssignmentRules[[#This Row],[DegreeIntervalID]],1)</f>
        <v>4</v>
      </c>
      <c r="AC31" s="12"/>
    </row>
    <row r="32" spans="2:29" x14ac:dyDescent="0.25">
      <c r="B32" s="2" t="s">
        <v>21</v>
      </c>
      <c r="C32" s="2">
        <v>6</v>
      </c>
      <c r="D32" s="2">
        <v>11</v>
      </c>
      <c r="E32" s="2">
        <v>0</v>
      </c>
      <c r="V32" s="12" t="s">
        <v>102</v>
      </c>
      <c r="W32" s="12" t="s">
        <v>285</v>
      </c>
      <c r="X32" s="12" t="s">
        <v>140</v>
      </c>
      <c r="Y32" s="12" t="s">
        <v>206</v>
      </c>
      <c r="Z32" s="12" t="s">
        <v>8</v>
      </c>
      <c r="AA32" s="12" t="s">
        <v>227</v>
      </c>
      <c r="AB32" s="2" t="str">
        <f>RIGHT(ScaleAssignmentRules[[#This Row],[DegreeIntervalID]],1)</f>
        <v>4</v>
      </c>
      <c r="AC32" s="12"/>
    </row>
    <row r="33" spans="2:29" x14ac:dyDescent="0.25">
      <c r="B33" s="2" t="s">
        <v>23</v>
      </c>
      <c r="C33" s="2">
        <v>6</v>
      </c>
      <c r="D33" s="2">
        <v>0</v>
      </c>
      <c r="E33" s="2">
        <v>1</v>
      </c>
      <c r="V33" s="12" t="s">
        <v>102</v>
      </c>
      <c r="W33" s="12" t="s">
        <v>56</v>
      </c>
      <c r="X33" s="12" t="s">
        <v>140</v>
      </c>
      <c r="Y33" s="12" t="s">
        <v>206</v>
      </c>
      <c r="Z33" s="12" t="s">
        <v>8</v>
      </c>
      <c r="AA33" s="12" t="s">
        <v>227</v>
      </c>
      <c r="AB33" s="2" t="str">
        <f>RIGHT(ScaleAssignmentRules[[#This Row],[DegreeIntervalID]],1)</f>
        <v>4</v>
      </c>
      <c r="AC33" s="12"/>
    </row>
    <row r="34" spans="2:29" x14ac:dyDescent="0.25">
      <c r="B34" s="2" t="s">
        <v>6</v>
      </c>
      <c r="C34" s="2">
        <v>0</v>
      </c>
      <c r="D34" s="2">
        <v>1</v>
      </c>
      <c r="E34" s="2">
        <v>1</v>
      </c>
      <c r="V34" s="12" t="s">
        <v>102</v>
      </c>
      <c r="W34" s="12" t="s">
        <v>53</v>
      </c>
      <c r="X34" s="12" t="s">
        <v>80</v>
      </c>
      <c r="Y34" s="12" t="s">
        <v>182</v>
      </c>
      <c r="Z34" s="12" t="s">
        <v>229</v>
      </c>
      <c r="AA34" s="12" t="s">
        <v>227</v>
      </c>
      <c r="AB34" s="2" t="str">
        <f>RIGHT(ScaleAssignmentRules[[#This Row],[DegreeIntervalID]],1)</f>
        <v>4</v>
      </c>
      <c r="AC34" s="12"/>
    </row>
    <row r="35" spans="2:29" x14ac:dyDescent="0.25">
      <c r="B35" s="2" t="s">
        <v>9</v>
      </c>
      <c r="C35" s="2">
        <v>1</v>
      </c>
      <c r="D35" s="2">
        <v>3</v>
      </c>
      <c r="E35" s="2">
        <v>1</v>
      </c>
      <c r="V35" s="12" t="s">
        <v>102</v>
      </c>
      <c r="W35" s="12" t="s">
        <v>53</v>
      </c>
      <c r="X35" s="12" t="s">
        <v>77</v>
      </c>
      <c r="Y35" s="12" t="s">
        <v>177</v>
      </c>
      <c r="Z35" s="12" t="s">
        <v>229</v>
      </c>
      <c r="AA35" s="12" t="s">
        <v>227</v>
      </c>
      <c r="AB35" s="2" t="str">
        <f>RIGHT(ScaleAssignmentRules[[#This Row],[DegreeIntervalID]],1)</f>
        <v>4</v>
      </c>
      <c r="AC35" s="12"/>
    </row>
    <row r="36" spans="2:29" x14ac:dyDescent="0.25">
      <c r="B36" s="2" t="s">
        <v>24</v>
      </c>
      <c r="C36" s="2">
        <v>2</v>
      </c>
      <c r="D36" s="2">
        <v>5</v>
      </c>
      <c r="E36" s="2">
        <v>1</v>
      </c>
      <c r="V36" s="12" t="s">
        <v>102</v>
      </c>
      <c r="W36" s="12" t="s">
        <v>53</v>
      </c>
      <c r="X36" s="12" t="s">
        <v>271</v>
      </c>
      <c r="Y36" s="12" t="s">
        <v>182</v>
      </c>
      <c r="Z36" s="12" t="s">
        <v>229</v>
      </c>
      <c r="AA36" s="12" t="s">
        <v>227</v>
      </c>
      <c r="AB36" s="2" t="str">
        <f>RIGHT(ScaleAssignmentRules[[#This Row],[DegreeIntervalID]],1)</f>
        <v>4</v>
      </c>
      <c r="AC36" s="12"/>
    </row>
    <row r="37" spans="2:29" x14ac:dyDescent="0.25">
      <c r="B37" s="2" t="s">
        <v>13</v>
      </c>
      <c r="C37" s="2">
        <v>3</v>
      </c>
      <c r="D37" s="2">
        <v>6</v>
      </c>
      <c r="E37" s="2">
        <v>1</v>
      </c>
      <c r="V37" s="12" t="s">
        <v>102</v>
      </c>
      <c r="W37" s="12" t="s">
        <v>56</v>
      </c>
      <c r="X37" s="12" t="s">
        <v>138</v>
      </c>
      <c r="Y37" s="12" t="s">
        <v>188</v>
      </c>
      <c r="Z37" s="12" t="s">
        <v>229</v>
      </c>
      <c r="AA37" s="12" t="s">
        <v>227</v>
      </c>
      <c r="AB37" s="2" t="str">
        <f>RIGHT(ScaleAssignmentRules[[#This Row],[DegreeIntervalID]],1)</f>
        <v>4</v>
      </c>
      <c r="AC37" s="12"/>
    </row>
    <row r="38" spans="2:29" x14ac:dyDescent="0.25">
      <c r="B38" s="2" t="s">
        <v>16</v>
      </c>
      <c r="C38" s="2">
        <v>4</v>
      </c>
      <c r="D38" s="2">
        <v>8</v>
      </c>
      <c r="E38" s="2">
        <v>1</v>
      </c>
      <c r="V38" s="12" t="s">
        <v>102</v>
      </c>
      <c r="W38" s="12" t="s">
        <v>53</v>
      </c>
      <c r="X38" s="12" t="s">
        <v>267</v>
      </c>
      <c r="Y38" s="12" t="s">
        <v>182</v>
      </c>
      <c r="Z38" s="12" t="s">
        <v>229</v>
      </c>
      <c r="AA38" s="12" t="s">
        <v>227</v>
      </c>
      <c r="AB38" s="2" t="str">
        <f>RIGHT(ScaleAssignmentRules[[#This Row],[DegreeIntervalID]],1)</f>
        <v>4</v>
      </c>
      <c r="AC38" s="12"/>
    </row>
    <row r="39" spans="2:29" x14ac:dyDescent="0.25">
      <c r="B39" s="2" t="s">
        <v>19</v>
      </c>
      <c r="C39" s="2">
        <v>5</v>
      </c>
      <c r="D39" s="2">
        <v>10</v>
      </c>
      <c r="E39" s="2">
        <v>1</v>
      </c>
      <c r="V39" s="12" t="s">
        <v>102</v>
      </c>
      <c r="W39" s="12" t="s">
        <v>53</v>
      </c>
      <c r="X39" s="13"/>
      <c r="Y39" s="12" t="s">
        <v>182</v>
      </c>
      <c r="Z39" s="12" t="s">
        <v>229</v>
      </c>
      <c r="AA39" s="12" t="s">
        <v>227</v>
      </c>
      <c r="AB39" s="2" t="str">
        <f>RIGHT(ScaleAssignmentRules[[#This Row],[DegreeIntervalID]],1)</f>
        <v>4</v>
      </c>
      <c r="AC39" s="12"/>
    </row>
    <row r="40" spans="2:29" x14ac:dyDescent="0.25">
      <c r="B40" s="2" t="s">
        <v>296</v>
      </c>
      <c r="C40" s="2">
        <v>6</v>
      </c>
      <c r="D40" s="2">
        <v>1</v>
      </c>
      <c r="E40" s="2">
        <v>2</v>
      </c>
      <c r="V40" s="12" t="s">
        <v>102</v>
      </c>
      <c r="W40" s="12" t="s">
        <v>62</v>
      </c>
      <c r="X40" s="12" t="s">
        <v>171</v>
      </c>
      <c r="Y40" s="12" t="s">
        <v>196</v>
      </c>
      <c r="Z40" s="12" t="s">
        <v>8</v>
      </c>
      <c r="AA40" s="12" t="s">
        <v>228</v>
      </c>
      <c r="AB40" s="2" t="str">
        <f>RIGHT(ScaleAssignmentRules[[#This Row],[DegreeIntervalID]],1)</f>
        <v>5</v>
      </c>
      <c r="AC40" s="12"/>
    </row>
    <row r="41" spans="2:29" x14ac:dyDescent="0.25">
      <c r="B41" s="2" t="s">
        <v>26</v>
      </c>
      <c r="C41" s="2">
        <v>0</v>
      </c>
      <c r="D41" s="2">
        <v>2</v>
      </c>
      <c r="E41" s="2">
        <v>2</v>
      </c>
      <c r="V41" s="12" t="s">
        <v>102</v>
      </c>
      <c r="W41" s="12" t="s">
        <v>62</v>
      </c>
      <c r="X41" s="12" t="s">
        <v>171</v>
      </c>
      <c r="Y41" s="12" t="s">
        <v>208</v>
      </c>
      <c r="Z41" s="12" t="s">
        <v>8</v>
      </c>
      <c r="AA41" s="12" t="s">
        <v>228</v>
      </c>
      <c r="AB41" s="2" t="str">
        <f>RIGHT(ScaleAssignmentRules[[#This Row],[DegreeIntervalID]],1)</f>
        <v>5</v>
      </c>
      <c r="AC41" s="12"/>
    </row>
    <row r="42" spans="2:29" x14ac:dyDescent="0.25">
      <c r="B42" s="2" t="s">
        <v>27</v>
      </c>
      <c r="C42" s="2">
        <v>1</v>
      </c>
      <c r="D42" s="2">
        <v>4</v>
      </c>
      <c r="E42" s="2">
        <v>2</v>
      </c>
      <c r="V42" s="12" t="s">
        <v>102</v>
      </c>
      <c r="W42" s="12" t="s">
        <v>62</v>
      </c>
      <c r="X42" s="12" t="s">
        <v>171</v>
      </c>
      <c r="Y42" s="12" t="s">
        <v>202</v>
      </c>
      <c r="Z42" s="12" t="s">
        <v>8</v>
      </c>
      <c r="AA42" s="12" t="s">
        <v>228</v>
      </c>
      <c r="AB42" s="2" t="str">
        <f>RIGHT(ScaleAssignmentRules[[#This Row],[DegreeIntervalID]],1)</f>
        <v>5</v>
      </c>
      <c r="AC42" s="12"/>
    </row>
    <row r="43" spans="2:29" x14ac:dyDescent="0.25">
      <c r="B43" s="2" t="s">
        <v>295</v>
      </c>
      <c r="C43" s="2">
        <v>2</v>
      </c>
      <c r="D43" s="2">
        <v>6</v>
      </c>
      <c r="E43" s="2">
        <v>2</v>
      </c>
      <c r="V43" s="12" t="s">
        <v>102</v>
      </c>
      <c r="W43" s="12" t="s">
        <v>62</v>
      </c>
      <c r="X43" s="12" t="s">
        <v>171</v>
      </c>
      <c r="Y43" s="12" t="s">
        <v>214</v>
      </c>
      <c r="Z43" s="12" t="s">
        <v>8</v>
      </c>
      <c r="AA43" s="12" t="s">
        <v>228</v>
      </c>
      <c r="AB43" s="2" t="str">
        <f>RIGHT(ScaleAssignmentRules[[#This Row],[DegreeIntervalID]],1)</f>
        <v>5</v>
      </c>
      <c r="AC43" s="12"/>
    </row>
    <row r="44" spans="2:29" x14ac:dyDescent="0.25">
      <c r="B44" s="2" t="s">
        <v>28</v>
      </c>
      <c r="C44" s="2">
        <v>3</v>
      </c>
      <c r="D44" s="2">
        <v>7</v>
      </c>
      <c r="E44" s="2">
        <v>2</v>
      </c>
      <c r="V44" s="12" t="s">
        <v>102</v>
      </c>
      <c r="W44" s="12" t="s">
        <v>62</v>
      </c>
      <c r="X44" s="12" t="s">
        <v>171</v>
      </c>
      <c r="Y44" s="12" t="s">
        <v>215</v>
      </c>
      <c r="Z44" s="12" t="s">
        <v>8</v>
      </c>
      <c r="AA44" s="12" t="s">
        <v>228</v>
      </c>
      <c r="AB44" s="2" t="str">
        <f>RIGHT(ScaleAssignmentRules[[#This Row],[DegreeIntervalID]],1)</f>
        <v>5</v>
      </c>
      <c r="AC44" s="12"/>
    </row>
    <row r="45" spans="2:29" x14ac:dyDescent="0.25">
      <c r="B45" s="2" t="s">
        <v>29</v>
      </c>
      <c r="C45" s="2">
        <v>4</v>
      </c>
      <c r="D45" s="2">
        <v>9</v>
      </c>
      <c r="E45" s="2">
        <v>2</v>
      </c>
      <c r="V45" s="12" t="s">
        <v>102</v>
      </c>
      <c r="W45" s="12" t="s">
        <v>62</v>
      </c>
      <c r="X45" s="12" t="s">
        <v>152</v>
      </c>
      <c r="Y45" s="12" t="s">
        <v>214</v>
      </c>
      <c r="Z45" s="12" t="s">
        <v>8</v>
      </c>
      <c r="AA45" s="12" t="s">
        <v>228</v>
      </c>
      <c r="AB45" s="2" t="str">
        <f>RIGHT(ScaleAssignmentRules[[#This Row],[DegreeIntervalID]],1)</f>
        <v>5</v>
      </c>
      <c r="AC45" s="12"/>
    </row>
    <row r="46" spans="2:29" x14ac:dyDescent="0.25">
      <c r="B46" s="2" t="s">
        <v>30</v>
      </c>
      <c r="C46" s="2">
        <v>5</v>
      </c>
      <c r="D46" s="2">
        <v>11</v>
      </c>
      <c r="E46" s="2">
        <v>2</v>
      </c>
      <c r="V46" s="12" t="s">
        <v>102</v>
      </c>
      <c r="W46" s="12" t="s">
        <v>62</v>
      </c>
      <c r="X46" s="12" t="s">
        <v>168</v>
      </c>
      <c r="Y46" s="12" t="s">
        <v>184</v>
      </c>
      <c r="Z46" s="12" t="s">
        <v>8</v>
      </c>
      <c r="AA46" s="12" t="s">
        <v>227</v>
      </c>
      <c r="AB46" s="2" t="str">
        <f>RIGHT(ScaleAssignmentRules[[#This Row],[DegreeIntervalID]],1)</f>
        <v>5</v>
      </c>
      <c r="AC46" s="12"/>
    </row>
    <row r="47" spans="2:29" x14ac:dyDescent="0.25">
      <c r="B47" s="2" t="s">
        <v>301</v>
      </c>
      <c r="C47" s="2">
        <v>5</v>
      </c>
      <c r="D47" s="2">
        <v>0</v>
      </c>
      <c r="E47" s="2">
        <v>3</v>
      </c>
      <c r="V47" s="12" t="s">
        <v>102</v>
      </c>
      <c r="W47" s="12" t="s">
        <v>62</v>
      </c>
      <c r="X47" s="12" t="s">
        <v>171</v>
      </c>
      <c r="Y47" s="12" t="s">
        <v>184</v>
      </c>
      <c r="Z47" s="12" t="s">
        <v>8</v>
      </c>
      <c r="AA47" s="12" t="s">
        <v>227</v>
      </c>
      <c r="AB47" s="2" t="str">
        <f>RIGHT(ScaleAssignmentRules[[#This Row],[DegreeIntervalID]],1)</f>
        <v>5</v>
      </c>
      <c r="AC47" s="12"/>
    </row>
    <row r="48" spans="2:29" x14ac:dyDescent="0.25">
      <c r="B48" s="2" t="s">
        <v>302</v>
      </c>
      <c r="C48" s="2">
        <v>6</v>
      </c>
      <c r="D48" s="2">
        <v>2</v>
      </c>
      <c r="E48" s="2">
        <v>3</v>
      </c>
      <c r="V48" s="12" t="s">
        <v>102</v>
      </c>
      <c r="W48" s="12" t="s">
        <v>62</v>
      </c>
      <c r="X48" s="12" t="s">
        <v>164</v>
      </c>
      <c r="Y48" s="12" t="s">
        <v>202</v>
      </c>
      <c r="Z48" s="12" t="s">
        <v>8</v>
      </c>
      <c r="AA48" s="12" t="s">
        <v>227</v>
      </c>
      <c r="AB48" s="2" t="str">
        <f>RIGHT(ScaleAssignmentRules[[#This Row],[DegreeIntervalID]],1)</f>
        <v>5</v>
      </c>
      <c r="AC48" s="12"/>
    </row>
    <row r="49" spans="2:29" x14ac:dyDescent="0.25">
      <c r="B49" s="2" t="s">
        <v>297</v>
      </c>
      <c r="C49" s="2">
        <v>0</v>
      </c>
      <c r="D49" s="2">
        <v>3</v>
      </c>
      <c r="E49" s="2">
        <v>3</v>
      </c>
      <c r="V49" s="12" t="s">
        <v>102</v>
      </c>
      <c r="W49" s="12" t="s">
        <v>62</v>
      </c>
      <c r="X49" s="12" t="s">
        <v>152</v>
      </c>
      <c r="Y49" s="12" t="s">
        <v>204</v>
      </c>
      <c r="Z49" s="12" t="s">
        <v>8</v>
      </c>
      <c r="AA49" s="12" t="s">
        <v>227</v>
      </c>
      <c r="AB49" s="2" t="str">
        <f>RIGHT(ScaleAssignmentRules[[#This Row],[DegreeIntervalID]],1)</f>
        <v>5</v>
      </c>
      <c r="AC49" s="12"/>
    </row>
    <row r="50" spans="2:29" x14ac:dyDescent="0.25">
      <c r="B50" s="2" t="s">
        <v>298</v>
      </c>
      <c r="C50" s="2">
        <v>1</v>
      </c>
      <c r="D50" s="2">
        <v>5</v>
      </c>
      <c r="E50" s="2">
        <v>3</v>
      </c>
      <c r="V50" s="12" t="s">
        <v>102</v>
      </c>
      <c r="W50" s="12" t="s">
        <v>62</v>
      </c>
      <c r="X50" s="12" t="s">
        <v>149</v>
      </c>
      <c r="Y50" s="12" t="s">
        <v>184</v>
      </c>
      <c r="Z50" s="12" t="s">
        <v>8</v>
      </c>
      <c r="AA50" s="12" t="s">
        <v>227</v>
      </c>
      <c r="AB50" s="2" t="str">
        <f>RIGHT(ScaleAssignmentRules[[#This Row],[DegreeIntervalID]],1)</f>
        <v>5</v>
      </c>
      <c r="AC50" s="12"/>
    </row>
    <row r="51" spans="2:29" x14ac:dyDescent="0.25">
      <c r="B51" s="2" t="s">
        <v>299</v>
      </c>
      <c r="C51" s="2">
        <v>2</v>
      </c>
      <c r="D51" s="2">
        <v>7</v>
      </c>
      <c r="E51" s="2">
        <v>3</v>
      </c>
      <c r="V51" s="12" t="s">
        <v>102</v>
      </c>
      <c r="W51" s="12" t="s">
        <v>62</v>
      </c>
      <c r="X51" s="12" t="s">
        <v>166</v>
      </c>
      <c r="Y51" s="12" t="s">
        <v>184</v>
      </c>
      <c r="Z51" s="12" t="s">
        <v>8</v>
      </c>
      <c r="AA51" s="12" t="s">
        <v>227</v>
      </c>
      <c r="AB51" s="2" t="str">
        <f>RIGHT(ScaleAssignmentRules[[#This Row],[DegreeIntervalID]],1)</f>
        <v>5</v>
      </c>
      <c r="AC51" s="12"/>
    </row>
    <row r="52" spans="2:29" x14ac:dyDescent="0.25">
      <c r="B52" s="2" t="s">
        <v>294</v>
      </c>
      <c r="C52" s="2">
        <v>3</v>
      </c>
      <c r="D52" s="2">
        <v>8</v>
      </c>
      <c r="E52" s="2">
        <v>3</v>
      </c>
      <c r="V52" s="12" t="s">
        <v>102</v>
      </c>
      <c r="W52" s="12" t="s">
        <v>65</v>
      </c>
      <c r="X52" s="12" t="s">
        <v>140</v>
      </c>
      <c r="Y52" s="12" t="s">
        <v>206</v>
      </c>
      <c r="Z52" s="12" t="s">
        <v>8</v>
      </c>
      <c r="AA52" s="12" t="s">
        <v>227</v>
      </c>
      <c r="AB52" s="2" t="str">
        <f>RIGHT(ScaleAssignmentRules[[#This Row],[DegreeIntervalID]],1)</f>
        <v>5</v>
      </c>
      <c r="AC52" s="12"/>
    </row>
    <row r="53" spans="2:29" x14ac:dyDescent="0.25">
      <c r="B53" s="2" t="s">
        <v>300</v>
      </c>
      <c r="C53" s="2">
        <v>4</v>
      </c>
      <c r="D53" s="2">
        <v>10</v>
      </c>
      <c r="E53" s="2">
        <v>3</v>
      </c>
      <c r="V53" s="12" t="s">
        <v>102</v>
      </c>
      <c r="W53" s="12" t="s">
        <v>62</v>
      </c>
      <c r="X53" s="13"/>
      <c r="Y53" s="12" t="s">
        <v>184</v>
      </c>
      <c r="Z53" s="12" t="s">
        <v>8</v>
      </c>
      <c r="AA53" s="12" t="s">
        <v>227</v>
      </c>
      <c r="AB53" s="2" t="str">
        <f>RIGHT(ScaleAssignmentRules[[#This Row],[DegreeIntervalID]],1)</f>
        <v>5</v>
      </c>
      <c r="AC53" s="12"/>
    </row>
    <row r="54" spans="2:29" x14ac:dyDescent="0.25">
      <c r="V54" s="12" t="s">
        <v>102</v>
      </c>
      <c r="W54" s="12" t="s">
        <v>71</v>
      </c>
      <c r="X54" s="12" t="s">
        <v>171</v>
      </c>
      <c r="Y54" s="12" t="s">
        <v>202</v>
      </c>
      <c r="Z54" s="12" t="s">
        <v>8</v>
      </c>
      <c r="AA54" s="12" t="s">
        <v>228</v>
      </c>
      <c r="AB54" s="2" t="str">
        <f>RIGHT(ScaleAssignmentRules[[#This Row],[DegreeIntervalID]],1)</f>
        <v>6</v>
      </c>
      <c r="AC54" s="12"/>
    </row>
    <row r="55" spans="2:29" x14ac:dyDescent="0.25">
      <c r="V55" s="12" t="s">
        <v>102</v>
      </c>
      <c r="W55" s="12" t="s">
        <v>68</v>
      </c>
      <c r="X55" s="12">
        <v>7</v>
      </c>
      <c r="Y55" s="12" t="s">
        <v>196</v>
      </c>
      <c r="Z55" s="12" t="s">
        <v>8</v>
      </c>
      <c r="AA55" s="12" t="s">
        <v>227</v>
      </c>
      <c r="AB55" s="2" t="str">
        <f>RIGHT(ScaleAssignmentRules[[#This Row],[DegreeIntervalID]],1)</f>
        <v>6</v>
      </c>
      <c r="AC55" s="12"/>
    </row>
    <row r="56" spans="2:29" x14ac:dyDescent="0.25">
      <c r="V56" s="12" t="s">
        <v>102</v>
      </c>
      <c r="W56" s="12" t="s">
        <v>71</v>
      </c>
      <c r="X56" s="12" t="s">
        <v>171</v>
      </c>
      <c r="Y56" s="12" t="s">
        <v>214</v>
      </c>
      <c r="Z56" s="12" t="s">
        <v>8</v>
      </c>
      <c r="AA56" s="12" t="s">
        <v>227</v>
      </c>
      <c r="AB56" s="2" t="str">
        <f>RIGHT(ScaleAssignmentRules[[#This Row],[DegreeIntervalID]],1)</f>
        <v>6</v>
      </c>
      <c r="AC56" s="12"/>
    </row>
    <row r="57" spans="2:29" x14ac:dyDescent="0.25">
      <c r="V57" s="12" t="s">
        <v>102</v>
      </c>
      <c r="W57" s="12" t="s">
        <v>288</v>
      </c>
      <c r="X57" s="12" t="s">
        <v>140</v>
      </c>
      <c r="Y57" s="12" t="s">
        <v>206</v>
      </c>
      <c r="Z57" s="12" t="s">
        <v>8</v>
      </c>
      <c r="AA57" s="12" t="s">
        <v>227</v>
      </c>
      <c r="AB57" s="2" t="str">
        <f>RIGHT(ScaleAssignmentRules[[#This Row],[DegreeIntervalID]],1)</f>
        <v>6</v>
      </c>
      <c r="AC57" s="12"/>
    </row>
    <row r="58" spans="2:29" x14ac:dyDescent="0.25">
      <c r="V58" s="12" t="s">
        <v>102</v>
      </c>
      <c r="W58" s="12" t="s">
        <v>68</v>
      </c>
      <c r="X58" s="12" t="s">
        <v>140</v>
      </c>
      <c r="Y58" s="12" t="s">
        <v>206</v>
      </c>
      <c r="Z58" s="12" t="s">
        <v>8</v>
      </c>
      <c r="AA58" s="12" t="s">
        <v>227</v>
      </c>
      <c r="AB58" s="2" t="str">
        <f>RIGHT(ScaleAssignmentRules[[#This Row],[DegreeIntervalID]],1)</f>
        <v>6</v>
      </c>
      <c r="AC58" s="12"/>
    </row>
    <row r="59" spans="2:29" x14ac:dyDescent="0.25">
      <c r="V59" s="12" t="s">
        <v>102</v>
      </c>
      <c r="W59" s="12" t="s">
        <v>71</v>
      </c>
      <c r="X59" s="12" t="s">
        <v>104</v>
      </c>
      <c r="Y59" s="12" t="s">
        <v>186</v>
      </c>
      <c r="Z59" s="12" t="s">
        <v>226</v>
      </c>
      <c r="AA59" s="12" t="s">
        <v>227</v>
      </c>
      <c r="AB59" s="2" t="str">
        <f>RIGHT(ScaleAssignmentRules[[#This Row],[DegreeIntervalID]],1)</f>
        <v>6</v>
      </c>
      <c r="AC59" s="12"/>
    </row>
    <row r="60" spans="2:29" x14ac:dyDescent="0.25">
      <c r="V60" s="12" t="s">
        <v>102</v>
      </c>
      <c r="W60" s="12" t="s">
        <v>71</v>
      </c>
      <c r="X60" s="12" t="s">
        <v>77</v>
      </c>
      <c r="Y60" s="12" t="s">
        <v>186</v>
      </c>
      <c r="Z60" s="12" t="s">
        <v>226</v>
      </c>
      <c r="AA60" s="12" t="s">
        <v>227</v>
      </c>
      <c r="AB60" s="2" t="str">
        <f>RIGHT(ScaleAssignmentRules[[#This Row],[DegreeIntervalID]],1)</f>
        <v>6</v>
      </c>
      <c r="AC60" s="12"/>
    </row>
    <row r="61" spans="2:29" x14ac:dyDescent="0.25">
      <c r="V61" s="12" t="s">
        <v>102</v>
      </c>
      <c r="W61" s="12" t="s">
        <v>68</v>
      </c>
      <c r="X61" s="12" t="s">
        <v>80</v>
      </c>
      <c r="Y61" s="12" t="s">
        <v>182</v>
      </c>
      <c r="Z61" s="12" t="s">
        <v>229</v>
      </c>
      <c r="AA61" s="12" t="s">
        <v>227</v>
      </c>
      <c r="AB61" s="2" t="str">
        <f>RIGHT(ScaleAssignmentRules[[#This Row],[DegreeIntervalID]],1)</f>
        <v>6</v>
      </c>
      <c r="AC61" s="12"/>
    </row>
    <row r="62" spans="2:29" x14ac:dyDescent="0.25">
      <c r="V62" s="12" t="s">
        <v>102</v>
      </c>
      <c r="W62" s="12" t="s">
        <v>80</v>
      </c>
      <c r="X62" s="12" t="s">
        <v>171</v>
      </c>
      <c r="Y62" s="12" t="s">
        <v>202</v>
      </c>
      <c r="Z62" s="12" t="s">
        <v>8</v>
      </c>
      <c r="AA62" s="12" t="s">
        <v>227</v>
      </c>
      <c r="AB62" s="2" t="str">
        <f>RIGHT(ScaleAssignmentRules[[#This Row],[DegreeIntervalID]],1)</f>
        <v>7</v>
      </c>
      <c r="AC62" s="12"/>
    </row>
    <row r="63" spans="2:29" x14ac:dyDescent="0.25">
      <c r="V63" s="12" t="s">
        <v>102</v>
      </c>
      <c r="W63" s="12" t="s">
        <v>77</v>
      </c>
      <c r="X63" s="12" t="s">
        <v>171</v>
      </c>
      <c r="Y63" s="12" t="s">
        <v>196</v>
      </c>
      <c r="Z63" s="12" t="s">
        <v>229</v>
      </c>
      <c r="AA63" s="12" t="s">
        <v>227</v>
      </c>
      <c r="AB63" s="2" t="str">
        <f>RIGHT(ScaleAssignmentRules[[#This Row],[DegreeIntervalID]],1)</f>
        <v>7</v>
      </c>
      <c r="AC63" s="12"/>
    </row>
    <row r="64" spans="2:29" x14ac:dyDescent="0.25">
      <c r="V64" s="12" t="s">
        <v>102</v>
      </c>
      <c r="W64" s="12" t="s">
        <v>80</v>
      </c>
      <c r="X64" s="12" t="s">
        <v>106</v>
      </c>
      <c r="Y64" s="12" t="s">
        <v>188</v>
      </c>
      <c r="Z64" s="12" t="s">
        <v>8</v>
      </c>
      <c r="AA64" s="12" t="s">
        <v>227</v>
      </c>
      <c r="AB64" s="2" t="str">
        <f>RIGHT(ScaleAssignmentRules[[#This Row],[DegreeIntervalID]],1)</f>
        <v>7</v>
      </c>
      <c r="AC64" s="12"/>
    </row>
    <row r="65" spans="22:29" x14ac:dyDescent="0.25">
      <c r="V65" s="12" t="s">
        <v>102</v>
      </c>
      <c r="W65" s="12" t="s">
        <v>74</v>
      </c>
      <c r="X65" s="12" t="s">
        <v>140</v>
      </c>
      <c r="Y65" s="12" t="s">
        <v>206</v>
      </c>
      <c r="Z65" s="12" t="s">
        <v>8</v>
      </c>
      <c r="AA65" s="12" t="s">
        <v>227</v>
      </c>
      <c r="AB65" s="2" t="str">
        <f>RIGHT(ScaleAssignmentRules[[#This Row],[DegreeIntervalID]],1)</f>
        <v>7</v>
      </c>
      <c r="AC65" s="12"/>
    </row>
    <row r="66" spans="22:29" x14ac:dyDescent="0.25">
      <c r="V66" s="12" t="s">
        <v>102</v>
      </c>
      <c r="W66" s="12" t="s">
        <v>80</v>
      </c>
      <c r="X66" s="12" t="s">
        <v>140</v>
      </c>
      <c r="Y66" s="12" t="s">
        <v>206</v>
      </c>
      <c r="Z66" s="12" t="s">
        <v>8</v>
      </c>
      <c r="AA66" s="12" t="s">
        <v>227</v>
      </c>
      <c r="AB66" s="2" t="str">
        <f>RIGHT(ScaleAssignmentRules[[#This Row],[DegreeIntervalID]],1)</f>
        <v>7</v>
      </c>
      <c r="AC66" s="12"/>
    </row>
    <row r="67" spans="22:29" x14ac:dyDescent="0.25">
      <c r="V67" s="12" t="s">
        <v>102</v>
      </c>
      <c r="W67" s="12" t="s">
        <v>77</v>
      </c>
      <c r="X67" s="12" t="s">
        <v>80</v>
      </c>
      <c r="Y67" s="12" t="s">
        <v>182</v>
      </c>
      <c r="Z67" s="12" t="s">
        <v>229</v>
      </c>
      <c r="AA67" s="12" t="s">
        <v>227</v>
      </c>
      <c r="AB67" s="2" t="str">
        <f>RIGHT(ScaleAssignmentRules[[#This Row],[DegreeIntervalID]],1)</f>
        <v>7</v>
      </c>
      <c r="AC67" s="12"/>
    </row>
    <row r="68" spans="22:29" x14ac:dyDescent="0.25">
      <c r="V68" s="12" t="s">
        <v>102</v>
      </c>
      <c r="W68" s="12" t="s">
        <v>80</v>
      </c>
      <c r="X68" s="12" t="s">
        <v>138</v>
      </c>
      <c r="Y68" s="12" t="s">
        <v>188</v>
      </c>
      <c r="Z68" s="12" t="s">
        <v>8</v>
      </c>
      <c r="AA68" s="12" t="s">
        <v>227</v>
      </c>
      <c r="AB68" s="2" t="str">
        <f>RIGHT(ScaleAssignmentRules[[#This Row],[DegreeIntervalID]],1)</f>
        <v>7</v>
      </c>
      <c r="AC68" s="12"/>
    </row>
    <row r="69" spans="22:29" x14ac:dyDescent="0.25">
      <c r="V69" s="12" t="s">
        <v>230</v>
      </c>
      <c r="W69" s="12" t="s">
        <v>38</v>
      </c>
      <c r="X69" s="12" t="s">
        <v>77</v>
      </c>
      <c r="Y69" s="12" t="s">
        <v>186</v>
      </c>
      <c r="Z69" s="12" t="s">
        <v>226</v>
      </c>
      <c r="AA69" s="12" t="s">
        <v>228</v>
      </c>
      <c r="AB69" s="2" t="str">
        <f>RIGHT(ScaleAssignmentRules[[#This Row],[DegreeIntervalID]],1)</f>
        <v>1</v>
      </c>
      <c r="AC69" s="12"/>
    </row>
    <row r="70" spans="22:29" x14ac:dyDescent="0.25">
      <c r="V70" s="12" t="s">
        <v>230</v>
      </c>
      <c r="W70" s="12" t="s">
        <v>38</v>
      </c>
      <c r="X70" s="12" t="s">
        <v>77</v>
      </c>
      <c r="Y70" s="12" t="s">
        <v>217</v>
      </c>
      <c r="Z70" s="12" t="s">
        <v>226</v>
      </c>
      <c r="AA70" s="12" t="s">
        <v>228</v>
      </c>
      <c r="AB70" s="2" t="str">
        <f>RIGHT(ScaleAssignmentRules[[#This Row],[DegreeIntervalID]],1)</f>
        <v>1</v>
      </c>
      <c r="AC70" s="12"/>
    </row>
    <row r="71" spans="22:29" x14ac:dyDescent="0.25">
      <c r="V71" s="12" t="s">
        <v>230</v>
      </c>
      <c r="W71" s="12" t="s">
        <v>38</v>
      </c>
      <c r="X71" s="12" t="s">
        <v>104</v>
      </c>
      <c r="Y71" s="12" t="s">
        <v>186</v>
      </c>
      <c r="Z71" s="12" t="s">
        <v>226</v>
      </c>
      <c r="AA71" s="12" t="s">
        <v>227</v>
      </c>
      <c r="AB71" s="2" t="str">
        <f>RIGHT(ScaleAssignmentRules[[#This Row],[DegreeIntervalID]],1)</f>
        <v>1</v>
      </c>
      <c r="AC71" s="12"/>
    </row>
    <row r="72" spans="22:29" x14ac:dyDescent="0.25">
      <c r="V72" s="12" t="s">
        <v>230</v>
      </c>
      <c r="W72" s="12" t="s">
        <v>38</v>
      </c>
      <c r="X72" s="12" t="s">
        <v>68</v>
      </c>
      <c r="Y72" s="12" t="s">
        <v>190</v>
      </c>
      <c r="Z72" s="12" t="s">
        <v>226</v>
      </c>
      <c r="AA72" s="12" t="s">
        <v>227</v>
      </c>
      <c r="AB72" s="2" t="str">
        <f>RIGHT(ScaleAssignmentRules[[#This Row],[DegreeIntervalID]],1)</f>
        <v>1</v>
      </c>
      <c r="AC72" s="12"/>
    </row>
    <row r="73" spans="22:29" x14ac:dyDescent="0.25">
      <c r="V73" s="12" t="s">
        <v>230</v>
      </c>
      <c r="W73" s="12" t="s">
        <v>38</v>
      </c>
      <c r="X73" s="12" t="s">
        <v>77</v>
      </c>
      <c r="Y73" s="12" t="s">
        <v>177</v>
      </c>
      <c r="Z73" s="12" t="s">
        <v>226</v>
      </c>
      <c r="AA73" s="12" t="s">
        <v>227</v>
      </c>
      <c r="AB73" s="2" t="str">
        <f>RIGHT(ScaleAssignmentRules[[#This Row],[DegreeIntervalID]],1)</f>
        <v>1</v>
      </c>
      <c r="AC73" s="12"/>
    </row>
    <row r="74" spans="22:29" x14ac:dyDescent="0.25">
      <c r="V74" s="12" t="s">
        <v>230</v>
      </c>
      <c r="W74" s="12" t="s">
        <v>38</v>
      </c>
      <c r="X74" s="12" t="s">
        <v>274</v>
      </c>
      <c r="Y74" s="12" t="s">
        <v>190</v>
      </c>
      <c r="Z74" s="12" t="s">
        <v>226</v>
      </c>
      <c r="AA74" s="12" t="s">
        <v>227</v>
      </c>
      <c r="AB74" s="2" t="str">
        <f>RIGHT(ScaleAssignmentRules[[#This Row],[DegreeIntervalID]],1)</f>
        <v>1</v>
      </c>
      <c r="AC74" s="12"/>
    </row>
    <row r="75" spans="22:29" x14ac:dyDescent="0.25">
      <c r="V75" s="12" t="s">
        <v>230</v>
      </c>
      <c r="W75" s="12" t="s">
        <v>44</v>
      </c>
      <c r="X75" s="12" t="s">
        <v>138</v>
      </c>
      <c r="Y75" s="12" t="s">
        <v>200</v>
      </c>
      <c r="Z75" s="12" t="s">
        <v>229</v>
      </c>
      <c r="AA75" s="12" t="s">
        <v>228</v>
      </c>
      <c r="AB75" s="2" t="str">
        <f>RIGHT(ScaleAssignmentRules[[#This Row],[DegreeIntervalID]],1)</f>
        <v>2</v>
      </c>
      <c r="AC75" s="12"/>
    </row>
    <row r="76" spans="22:29" x14ac:dyDescent="0.25">
      <c r="V76" s="12" t="s">
        <v>230</v>
      </c>
      <c r="W76" s="12" t="s">
        <v>41</v>
      </c>
      <c r="X76" s="12" t="s">
        <v>171</v>
      </c>
      <c r="Y76" s="12" t="s">
        <v>196</v>
      </c>
      <c r="Z76" s="12" t="s">
        <v>8</v>
      </c>
      <c r="AA76" s="12" t="s">
        <v>227</v>
      </c>
      <c r="AB76" s="2" t="str">
        <f>RIGHT(ScaleAssignmentRules[[#This Row],[DegreeIntervalID]],1)</f>
        <v>2</v>
      </c>
      <c r="AC76" s="12"/>
    </row>
    <row r="77" spans="22:29" x14ac:dyDescent="0.25">
      <c r="V77" s="12" t="s">
        <v>230</v>
      </c>
      <c r="W77" s="12" t="s">
        <v>293</v>
      </c>
      <c r="X77" s="12" t="s">
        <v>171</v>
      </c>
      <c r="Y77" s="12" t="s">
        <v>196</v>
      </c>
      <c r="Z77" s="12" t="s">
        <v>8</v>
      </c>
      <c r="AA77" s="12" t="s">
        <v>227</v>
      </c>
      <c r="AB77" s="2" t="str">
        <f>RIGHT(ScaleAssignmentRules[[#This Row],[DegreeIntervalID]],1)</f>
        <v>2</v>
      </c>
      <c r="AC77" s="12"/>
    </row>
    <row r="78" spans="22:29" x14ac:dyDescent="0.25">
      <c r="V78" s="12" t="s">
        <v>230</v>
      </c>
      <c r="W78" s="12" t="s">
        <v>44</v>
      </c>
      <c r="X78" s="12" t="s">
        <v>106</v>
      </c>
      <c r="Y78" s="12" t="s">
        <v>188</v>
      </c>
      <c r="Z78" s="12" t="s">
        <v>229</v>
      </c>
      <c r="AA78" s="12" t="s">
        <v>227</v>
      </c>
      <c r="AB78" s="2" t="str">
        <f>RIGHT(ScaleAssignmentRules[[#This Row],[DegreeIntervalID]],1)</f>
        <v>2</v>
      </c>
      <c r="AC78" s="12"/>
    </row>
    <row r="79" spans="22:29" x14ac:dyDescent="0.25">
      <c r="V79" s="12" t="s">
        <v>230</v>
      </c>
      <c r="W79" s="12" t="s">
        <v>41</v>
      </c>
      <c r="X79" s="12" t="s">
        <v>140</v>
      </c>
      <c r="Y79" s="12" t="s">
        <v>206</v>
      </c>
      <c r="Z79" s="12" t="s">
        <v>8</v>
      </c>
      <c r="AA79" s="12" t="s">
        <v>227</v>
      </c>
      <c r="AB79" s="2" t="str">
        <f>RIGHT(ScaleAssignmentRules[[#This Row],[DegreeIntervalID]],1)</f>
        <v>2</v>
      </c>
      <c r="AC79" s="12"/>
    </row>
    <row r="80" spans="22:29" x14ac:dyDescent="0.25">
      <c r="V80" s="12" t="s">
        <v>230</v>
      </c>
      <c r="W80" s="12" t="s">
        <v>41</v>
      </c>
      <c r="X80" s="12" t="s">
        <v>80</v>
      </c>
      <c r="Y80" s="12" t="s">
        <v>182</v>
      </c>
      <c r="Z80" s="12" t="s">
        <v>229</v>
      </c>
      <c r="AA80" s="12" t="s">
        <v>227</v>
      </c>
      <c r="AB80" s="2" t="str">
        <f>RIGHT(ScaleAssignmentRules[[#This Row],[DegreeIntervalID]],1)</f>
        <v>2</v>
      </c>
      <c r="AC80" s="12"/>
    </row>
    <row r="81" spans="22:29" x14ac:dyDescent="0.25">
      <c r="V81" s="12" t="s">
        <v>230</v>
      </c>
      <c r="W81" s="12" t="s">
        <v>293</v>
      </c>
      <c r="X81" s="12" t="s">
        <v>80</v>
      </c>
      <c r="Y81" s="12" t="s">
        <v>182</v>
      </c>
      <c r="Z81" s="12" t="s">
        <v>229</v>
      </c>
      <c r="AA81" s="12" t="s">
        <v>227</v>
      </c>
      <c r="AB81" s="2" t="str">
        <f>RIGHT(ScaleAssignmentRules[[#This Row],[DegreeIntervalID]],1)</f>
        <v>2</v>
      </c>
      <c r="AC81" s="12"/>
    </row>
    <row r="82" spans="22:29" x14ac:dyDescent="0.25">
      <c r="V82" s="12" t="s">
        <v>230</v>
      </c>
      <c r="W82" s="12" t="s">
        <v>44</v>
      </c>
      <c r="X82" s="12" t="s">
        <v>138</v>
      </c>
      <c r="Y82" s="12" t="s">
        <v>188</v>
      </c>
      <c r="Z82" s="12" t="s">
        <v>229</v>
      </c>
      <c r="AA82" s="12" t="s">
        <v>227</v>
      </c>
      <c r="AB82" s="2" t="str">
        <f>RIGHT(ScaleAssignmentRules[[#This Row],[DegreeIntervalID]],1)</f>
        <v>2</v>
      </c>
      <c r="AC82" s="12"/>
    </row>
    <row r="83" spans="22:29" x14ac:dyDescent="0.25">
      <c r="V83" s="12" t="s">
        <v>230</v>
      </c>
      <c r="W83" s="12" t="s">
        <v>47</v>
      </c>
      <c r="X83" s="12">
        <v>7</v>
      </c>
      <c r="Y83" s="12" t="s">
        <v>184</v>
      </c>
      <c r="Z83" s="12" t="s">
        <v>8</v>
      </c>
      <c r="AA83" s="12" t="s">
        <v>227</v>
      </c>
      <c r="AB83" s="2" t="str">
        <f>RIGHT(ScaleAssignmentRules[[#This Row],[DegreeIntervalID]],1)</f>
        <v>3</v>
      </c>
      <c r="AC83" s="12"/>
    </row>
    <row r="84" spans="22:29" x14ac:dyDescent="0.25">
      <c r="V84" s="12" t="s">
        <v>230</v>
      </c>
      <c r="W84" s="12" t="s">
        <v>47</v>
      </c>
      <c r="X84" s="12" t="s">
        <v>80</v>
      </c>
      <c r="Y84" s="12" t="s">
        <v>175</v>
      </c>
      <c r="Z84" s="12" t="s">
        <v>226</v>
      </c>
      <c r="AA84" s="12" t="s">
        <v>227</v>
      </c>
      <c r="AB84" s="2" t="str">
        <f>RIGHT(ScaleAssignmentRules[[#This Row],[DegreeIntervalID]],1)</f>
        <v>3</v>
      </c>
      <c r="AC84" s="12"/>
    </row>
    <row r="85" spans="22:29" x14ac:dyDescent="0.25">
      <c r="V85" s="12" t="s">
        <v>230</v>
      </c>
      <c r="W85" s="12" t="s">
        <v>47</v>
      </c>
      <c r="X85" s="12" t="s">
        <v>271</v>
      </c>
      <c r="Y85" s="12" t="s">
        <v>194</v>
      </c>
      <c r="Z85" s="12" t="s">
        <v>226</v>
      </c>
      <c r="AA85" s="12" t="s">
        <v>227</v>
      </c>
      <c r="AB85" s="2" t="str">
        <f>RIGHT(ScaleAssignmentRules[[#This Row],[DegreeIntervalID]],1)</f>
        <v>3</v>
      </c>
      <c r="AC85" s="12"/>
    </row>
    <row r="86" spans="22:29" x14ac:dyDescent="0.25">
      <c r="V86" s="12" t="s">
        <v>230</v>
      </c>
      <c r="W86" s="12" t="s">
        <v>47</v>
      </c>
      <c r="X86" s="13"/>
      <c r="Y86" s="12" t="s">
        <v>175</v>
      </c>
      <c r="Z86" s="12" t="s">
        <v>226</v>
      </c>
      <c r="AA86" s="12" t="s">
        <v>227</v>
      </c>
      <c r="AB86" s="2" t="str">
        <f>RIGHT(ScaleAssignmentRules[[#This Row],[DegreeIntervalID]],1)</f>
        <v>3</v>
      </c>
      <c r="AC86" s="12"/>
    </row>
    <row r="87" spans="22:29" x14ac:dyDescent="0.25">
      <c r="V87" s="12" t="s">
        <v>230</v>
      </c>
      <c r="W87" s="12" t="s">
        <v>53</v>
      </c>
      <c r="X87" s="12" t="s">
        <v>77</v>
      </c>
      <c r="Y87" s="12" t="s">
        <v>219</v>
      </c>
      <c r="Z87" s="12" t="s">
        <v>229</v>
      </c>
      <c r="AA87" s="12" t="s">
        <v>228</v>
      </c>
      <c r="AB87" s="2" t="str">
        <f>RIGHT(ScaleAssignmentRules[[#This Row],[DegreeIntervalID]],1)</f>
        <v>4</v>
      </c>
      <c r="AC87" s="12"/>
    </row>
    <row r="88" spans="22:29" x14ac:dyDescent="0.25">
      <c r="V88" s="12" t="s">
        <v>230</v>
      </c>
      <c r="W88" s="12" t="s">
        <v>53</v>
      </c>
      <c r="X88" s="12" t="s">
        <v>171</v>
      </c>
      <c r="Y88" s="12" t="s">
        <v>196</v>
      </c>
      <c r="Z88" s="12" t="s">
        <v>229</v>
      </c>
      <c r="AA88" s="12" t="s">
        <v>227</v>
      </c>
      <c r="AB88" s="2" t="str">
        <f>RIGHT(ScaleAssignmentRules[[#This Row],[DegreeIntervalID]],1)</f>
        <v>4</v>
      </c>
      <c r="AC88" s="12"/>
    </row>
    <row r="89" spans="22:29" x14ac:dyDescent="0.25">
      <c r="V89" s="12" t="s">
        <v>230</v>
      </c>
      <c r="W89" s="12" t="s">
        <v>285</v>
      </c>
      <c r="X89" s="12" t="s">
        <v>140</v>
      </c>
      <c r="Y89" s="12" t="s">
        <v>206</v>
      </c>
      <c r="Z89" s="12" t="s">
        <v>8</v>
      </c>
      <c r="AA89" s="12" t="s">
        <v>227</v>
      </c>
      <c r="AB89" s="2" t="str">
        <f>RIGHT(ScaleAssignmentRules[[#This Row],[DegreeIntervalID]],1)</f>
        <v>4</v>
      </c>
      <c r="AC89" s="12"/>
    </row>
    <row r="90" spans="22:29" x14ac:dyDescent="0.25">
      <c r="V90" s="12" t="s">
        <v>230</v>
      </c>
      <c r="W90" s="12" t="s">
        <v>56</v>
      </c>
      <c r="X90" s="12" t="s">
        <v>140</v>
      </c>
      <c r="Y90" s="12" t="s">
        <v>206</v>
      </c>
      <c r="Z90" s="12" t="s">
        <v>8</v>
      </c>
      <c r="AA90" s="12" t="s">
        <v>227</v>
      </c>
      <c r="AB90" s="2" t="str">
        <f>RIGHT(ScaleAssignmentRules[[#This Row],[DegreeIntervalID]],1)</f>
        <v>4</v>
      </c>
      <c r="AC90" s="12"/>
    </row>
    <row r="91" spans="22:29" x14ac:dyDescent="0.25">
      <c r="V91" s="12" t="s">
        <v>230</v>
      </c>
      <c r="W91" s="12" t="s">
        <v>53</v>
      </c>
      <c r="X91" s="12" t="s">
        <v>104</v>
      </c>
      <c r="Y91" s="12" t="s">
        <v>177</v>
      </c>
      <c r="Z91" s="12" t="s">
        <v>229</v>
      </c>
      <c r="AA91" s="12" t="s">
        <v>227</v>
      </c>
      <c r="AB91" s="2" t="str">
        <f>RIGHT(ScaleAssignmentRules[[#This Row],[DegreeIntervalID]],1)</f>
        <v>4</v>
      </c>
      <c r="AC91" s="12"/>
    </row>
    <row r="92" spans="22:29" x14ac:dyDescent="0.25">
      <c r="V92" s="12" t="s">
        <v>230</v>
      </c>
      <c r="W92" s="12" t="s">
        <v>53</v>
      </c>
      <c r="X92" s="12" t="s">
        <v>68</v>
      </c>
      <c r="Y92" s="12" t="s">
        <v>177</v>
      </c>
      <c r="Z92" s="12" t="s">
        <v>229</v>
      </c>
      <c r="AA92" s="12" t="s">
        <v>227</v>
      </c>
      <c r="AB92" s="2" t="str">
        <f>RIGHT(ScaleAssignmentRules[[#This Row],[DegreeIntervalID]],1)</f>
        <v>4</v>
      </c>
      <c r="AC92" s="12"/>
    </row>
    <row r="93" spans="22:29" x14ac:dyDescent="0.25">
      <c r="V93" s="12" t="s">
        <v>230</v>
      </c>
      <c r="W93" s="12" t="s">
        <v>53</v>
      </c>
      <c r="X93" s="12" t="s">
        <v>77</v>
      </c>
      <c r="Y93" s="12" t="s">
        <v>177</v>
      </c>
      <c r="Z93" s="12" t="s">
        <v>229</v>
      </c>
      <c r="AA93" s="12" t="s">
        <v>227</v>
      </c>
      <c r="AB93" s="2" t="str">
        <f>RIGHT(ScaleAssignmentRules[[#This Row],[DegreeIntervalID]],1)</f>
        <v>4</v>
      </c>
      <c r="AC93" s="12"/>
    </row>
    <row r="94" spans="22:29" x14ac:dyDescent="0.25">
      <c r="V94" s="12" t="s">
        <v>230</v>
      </c>
      <c r="W94" s="12" t="s">
        <v>56</v>
      </c>
      <c r="X94" s="12" t="s">
        <v>138</v>
      </c>
      <c r="Y94" s="12" t="s">
        <v>188</v>
      </c>
      <c r="Z94" s="12" t="s">
        <v>229</v>
      </c>
      <c r="AA94" s="12" t="s">
        <v>227</v>
      </c>
      <c r="AB94" s="2" t="str">
        <f>RIGHT(ScaleAssignmentRules[[#This Row],[DegreeIntervalID]],1)</f>
        <v>4</v>
      </c>
      <c r="AC94" s="12"/>
    </row>
    <row r="95" spans="22:29" x14ac:dyDescent="0.25">
      <c r="V95" s="12" t="s">
        <v>230</v>
      </c>
      <c r="W95" s="12" t="s">
        <v>62</v>
      </c>
      <c r="X95" s="12" t="s">
        <v>171</v>
      </c>
      <c r="Y95" s="12" t="s">
        <v>210</v>
      </c>
      <c r="Z95" s="12" t="s">
        <v>8</v>
      </c>
      <c r="AA95" s="12" t="s">
        <v>228</v>
      </c>
      <c r="AB95" s="2" t="str">
        <f>RIGHT(ScaleAssignmentRules[[#This Row],[DegreeIntervalID]],1)</f>
        <v>5</v>
      </c>
      <c r="AC95" s="12"/>
    </row>
    <row r="96" spans="22:29" x14ac:dyDescent="0.25">
      <c r="V96" s="12" t="s">
        <v>230</v>
      </c>
      <c r="W96" s="12" t="s">
        <v>62</v>
      </c>
      <c r="X96" s="12" t="s">
        <v>171</v>
      </c>
      <c r="Y96" s="12" t="s">
        <v>214</v>
      </c>
      <c r="Z96" s="12" t="s">
        <v>8</v>
      </c>
      <c r="AA96" s="12" t="s">
        <v>228</v>
      </c>
      <c r="AB96" s="2" t="str">
        <f>RIGHT(ScaleAssignmentRules[[#This Row],[DegreeIntervalID]],1)</f>
        <v>5</v>
      </c>
      <c r="AC96" s="12"/>
    </row>
    <row r="97" spans="22:29" x14ac:dyDescent="0.25">
      <c r="V97" s="12" t="s">
        <v>230</v>
      </c>
      <c r="W97" s="12" t="s">
        <v>62</v>
      </c>
      <c r="X97" s="12" t="s">
        <v>171</v>
      </c>
      <c r="Y97" s="12" t="s">
        <v>198</v>
      </c>
      <c r="Z97" s="12" t="s">
        <v>8</v>
      </c>
      <c r="AA97" s="12" t="s">
        <v>227</v>
      </c>
      <c r="AB97" s="2" t="str">
        <f>RIGHT(ScaleAssignmentRules[[#This Row],[DegreeIntervalID]],1)</f>
        <v>5</v>
      </c>
      <c r="AC97" s="12"/>
    </row>
    <row r="98" spans="22:29" x14ac:dyDescent="0.25">
      <c r="V98" s="12" t="s">
        <v>230</v>
      </c>
      <c r="W98" s="12" t="s">
        <v>62</v>
      </c>
      <c r="X98" s="13" t="s">
        <v>164</v>
      </c>
      <c r="Y98" s="12" t="s">
        <v>202</v>
      </c>
      <c r="Z98" s="12" t="s">
        <v>8</v>
      </c>
      <c r="AA98" s="12" t="s">
        <v>227</v>
      </c>
      <c r="AB98" s="2" t="str">
        <f>RIGHT(ScaleAssignmentRules[[#This Row],[DegreeIntervalID]],1)</f>
        <v>5</v>
      </c>
      <c r="AC98" s="12"/>
    </row>
    <row r="99" spans="22:29" x14ac:dyDescent="0.25">
      <c r="V99" s="12" t="s">
        <v>230</v>
      </c>
      <c r="W99" s="12" t="s">
        <v>62</v>
      </c>
      <c r="X99" s="12" t="s">
        <v>152</v>
      </c>
      <c r="Y99" s="12" t="s">
        <v>204</v>
      </c>
      <c r="Z99" s="12" t="s">
        <v>8</v>
      </c>
      <c r="AA99" s="12" t="s">
        <v>227</v>
      </c>
      <c r="AB99" s="2" t="str">
        <f>RIGHT(ScaleAssignmentRules[[#This Row],[DegreeIntervalID]],1)</f>
        <v>5</v>
      </c>
      <c r="AC99" s="12"/>
    </row>
    <row r="100" spans="22:29" x14ac:dyDescent="0.25">
      <c r="V100" s="12" t="s">
        <v>230</v>
      </c>
      <c r="W100" s="12" t="s">
        <v>62</v>
      </c>
      <c r="X100" s="12" t="s">
        <v>104</v>
      </c>
      <c r="Y100" s="12" t="s">
        <v>179</v>
      </c>
      <c r="Z100" s="12" t="s">
        <v>8</v>
      </c>
      <c r="AA100" s="12" t="s">
        <v>227</v>
      </c>
      <c r="AB100" s="2" t="str">
        <f>RIGHT(ScaleAssignmentRules[[#This Row],[DegreeIntervalID]],1)</f>
        <v>5</v>
      </c>
      <c r="AC100" s="12"/>
    </row>
    <row r="101" spans="22:29" x14ac:dyDescent="0.25">
      <c r="V101" s="12" t="s">
        <v>230</v>
      </c>
      <c r="W101" s="12" t="s">
        <v>62</v>
      </c>
      <c r="X101" s="13" t="s">
        <v>77</v>
      </c>
      <c r="Y101" s="12" t="s">
        <v>179</v>
      </c>
      <c r="Z101" s="12" t="s">
        <v>8</v>
      </c>
      <c r="AA101" s="12" t="s">
        <v>227</v>
      </c>
      <c r="AB101" s="2" t="str">
        <f>RIGHT(ScaleAssignmentRules[[#This Row],[DegreeIntervalID]],1)</f>
        <v>5</v>
      </c>
      <c r="AC101" s="12"/>
    </row>
    <row r="102" spans="22:29" x14ac:dyDescent="0.25">
      <c r="V102" s="12" t="s">
        <v>230</v>
      </c>
      <c r="W102" s="12" t="s">
        <v>65</v>
      </c>
      <c r="X102" s="12" t="s">
        <v>80</v>
      </c>
      <c r="Y102" s="12" t="s">
        <v>182</v>
      </c>
      <c r="Z102" s="12" t="s">
        <v>229</v>
      </c>
      <c r="AA102" s="12" t="s">
        <v>227</v>
      </c>
      <c r="AB102" s="2" t="str">
        <f>RIGHT(ScaleAssignmentRules[[#This Row],[DegreeIntervalID]],1)</f>
        <v>5</v>
      </c>
      <c r="AC102" s="12"/>
    </row>
    <row r="103" spans="22:29" x14ac:dyDescent="0.25">
      <c r="V103" s="12" t="s">
        <v>230</v>
      </c>
      <c r="W103" s="12" t="s">
        <v>62</v>
      </c>
      <c r="X103" s="13"/>
      <c r="Y103" s="12" t="s">
        <v>198</v>
      </c>
      <c r="Z103" s="12" t="s">
        <v>8</v>
      </c>
      <c r="AA103" s="12" t="s">
        <v>227</v>
      </c>
      <c r="AB103" s="2" t="str">
        <f>RIGHT(ScaleAssignmentRules[[#This Row],[DegreeIntervalID]],1)</f>
        <v>5</v>
      </c>
      <c r="AC103" s="12"/>
    </row>
    <row r="104" spans="22:29" x14ac:dyDescent="0.25">
      <c r="V104" s="12" t="s">
        <v>230</v>
      </c>
      <c r="W104" s="12" t="s">
        <v>68</v>
      </c>
      <c r="X104" s="12" t="s">
        <v>171</v>
      </c>
      <c r="Y104" s="12" t="s">
        <v>196</v>
      </c>
      <c r="Z104" s="12" t="s">
        <v>229</v>
      </c>
      <c r="AA104" s="12" t="s">
        <v>227</v>
      </c>
      <c r="AB104" s="2" t="str">
        <f>RIGHT(ScaleAssignmentRules[[#This Row],[DegreeIntervalID]],1)</f>
        <v>6</v>
      </c>
      <c r="AC104" s="12"/>
    </row>
    <row r="105" spans="22:29" x14ac:dyDescent="0.25">
      <c r="V105" s="12" t="s">
        <v>230</v>
      </c>
      <c r="W105" s="12" t="s">
        <v>68</v>
      </c>
      <c r="X105" s="12" t="s">
        <v>140</v>
      </c>
      <c r="Y105" s="12" t="s">
        <v>206</v>
      </c>
      <c r="Z105" s="12" t="s">
        <v>8</v>
      </c>
      <c r="AA105" s="12" t="s">
        <v>227</v>
      </c>
      <c r="AB105" s="2" t="str">
        <f>RIGHT(ScaleAssignmentRules[[#This Row],[DegreeIntervalID]],1)</f>
        <v>6</v>
      </c>
      <c r="AC105" s="12"/>
    </row>
    <row r="106" spans="22:29" x14ac:dyDescent="0.25">
      <c r="V106" s="12" t="s">
        <v>230</v>
      </c>
      <c r="W106" s="12" t="s">
        <v>68</v>
      </c>
      <c r="X106" s="13" t="s">
        <v>80</v>
      </c>
      <c r="Y106" s="12" t="s">
        <v>182</v>
      </c>
      <c r="Z106" s="12" t="s">
        <v>229</v>
      </c>
      <c r="AA106" s="12" t="s">
        <v>227</v>
      </c>
      <c r="AB106" s="2" t="str">
        <f>RIGHT(ScaleAssignmentRules[[#This Row],[DegreeIntervalID]],1)</f>
        <v>6</v>
      </c>
      <c r="AC106" s="12"/>
    </row>
    <row r="107" spans="22:29" x14ac:dyDescent="0.25">
      <c r="V107" s="12" t="s">
        <v>230</v>
      </c>
      <c r="W107" s="12" t="s">
        <v>71</v>
      </c>
      <c r="X107" s="12" t="s">
        <v>138</v>
      </c>
      <c r="Y107" s="12" t="s">
        <v>200</v>
      </c>
      <c r="Z107" s="12" t="s">
        <v>229</v>
      </c>
      <c r="AA107" s="12" t="s">
        <v>227</v>
      </c>
      <c r="AB107" s="2" t="str">
        <f>RIGHT(ScaleAssignmentRules[[#This Row],[DegreeIntervalID]],1)</f>
        <v>6</v>
      </c>
      <c r="AC107" s="12"/>
    </row>
    <row r="108" spans="22:29" x14ac:dyDescent="0.25">
      <c r="V108" s="12" t="s">
        <v>230</v>
      </c>
      <c r="W108" s="12" t="s">
        <v>68</v>
      </c>
      <c r="X108" s="13"/>
      <c r="Y108" s="12" t="s">
        <v>182</v>
      </c>
      <c r="Z108" s="12" t="s">
        <v>229</v>
      </c>
      <c r="AA108" s="12" t="s">
        <v>227</v>
      </c>
      <c r="AB108" s="2" t="str">
        <f>RIGHT(ScaleAssignmentRules[[#This Row],[DegreeIntervalID]],1)</f>
        <v>6</v>
      </c>
      <c r="AC108" s="12"/>
    </row>
    <row r="109" spans="22:29" x14ac:dyDescent="0.25">
      <c r="V109" s="12" t="s">
        <v>230</v>
      </c>
      <c r="W109" s="12" t="s">
        <v>77</v>
      </c>
      <c r="X109" s="12" t="s">
        <v>171</v>
      </c>
      <c r="Y109" s="12" t="s">
        <v>184</v>
      </c>
      <c r="Z109" s="12" t="s">
        <v>229</v>
      </c>
      <c r="AA109" s="12" t="s">
        <v>227</v>
      </c>
      <c r="AB109" s="2" t="str">
        <f>RIGHT(ScaleAssignmentRules[[#This Row],[DegreeIntervalID]],1)</f>
        <v>7</v>
      </c>
      <c r="AC109" s="12"/>
    </row>
    <row r="110" spans="22:29" x14ac:dyDescent="0.25">
      <c r="V110" s="12" t="s">
        <v>230</v>
      </c>
      <c r="W110" s="12" t="s">
        <v>80</v>
      </c>
      <c r="X110" s="12" t="s">
        <v>140</v>
      </c>
      <c r="Y110" s="12" t="s">
        <v>206</v>
      </c>
      <c r="Z110" s="12" t="s">
        <v>8</v>
      </c>
      <c r="AA110" s="12" t="s">
        <v>227</v>
      </c>
      <c r="AB110" s="2" t="str">
        <f>RIGHT(ScaleAssignmentRules[[#This Row],[DegreeIntervalID]],1)</f>
        <v>7</v>
      </c>
      <c r="AC110" s="12"/>
    </row>
    <row r="111" spans="22:29" x14ac:dyDescent="0.25">
      <c r="V111" s="12" t="s">
        <v>230</v>
      </c>
      <c r="W111" s="12" t="s">
        <v>77</v>
      </c>
      <c r="X111" s="13"/>
      <c r="Y111" s="12" t="s">
        <v>184</v>
      </c>
      <c r="Z111" s="12" t="s">
        <v>229</v>
      </c>
      <c r="AA111" s="12" t="s">
        <v>227</v>
      </c>
      <c r="AB111" s="2" t="str">
        <f>RIGHT(ScaleAssignmentRules[[#This Row],[DegreeIntervalID]],1)</f>
        <v>7</v>
      </c>
      <c r="AC111" s="12"/>
    </row>
  </sheetData>
  <sheetProtection autoFilter="0"/>
  <phoneticPr fontId="1"/>
  <pageMargins left="0.7" right="0.7" top="0.75" bottom="0.75" header="0.3" footer="0.3"/>
  <pageSetup paperSize="9" orientation="portrait" horizontalDpi="4294967293" verticalDpi="0" r:id="rId1"/>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04B0-1849-46F4-9139-EAE2F5E0D2AB}">
  <dimension ref="A1"/>
  <sheetViews>
    <sheetView workbookViewId="0">
      <selection sqref="A1:XFD1048576"/>
    </sheetView>
  </sheetViews>
  <sheetFormatPr defaultColWidth="9" defaultRowHeight="18.75" x14ac:dyDescent="0.4"/>
  <sheetData>
    <row r="1" spans="1:1" x14ac:dyDescent="0.4">
      <c r="A1" t="s">
        <v>232</v>
      </c>
    </row>
  </sheetData>
  <sheetProtection formatCells="0" formatColumns="0" formatRows="0"/>
  <phoneticPr fontId="1"/>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AC80-FC33-476C-8AFB-3DA4ACEAF19A}">
  <dimension ref="A1:A82"/>
  <sheetViews>
    <sheetView zoomScale="130" zoomScaleNormal="130" workbookViewId="0">
      <pane ySplit="1" topLeftCell="A2" activePane="bottomLeft" state="frozen"/>
      <selection pane="bottomLeft" activeCell="A2" sqref="A2:XFD2"/>
    </sheetView>
  </sheetViews>
  <sheetFormatPr defaultRowHeight="16.5" x14ac:dyDescent="0.3"/>
  <cols>
    <col min="1" max="16384" width="9" style="49"/>
  </cols>
  <sheetData>
    <row r="1" spans="1:1" x14ac:dyDescent="0.3">
      <c r="A1" s="48" t="s">
        <v>428</v>
      </c>
    </row>
    <row r="3" spans="1:1" x14ac:dyDescent="0.3">
      <c r="A3" s="48" t="s">
        <v>429</v>
      </c>
    </row>
    <row r="5" spans="1:1" x14ac:dyDescent="0.3">
      <c r="A5" s="50" t="s">
        <v>430</v>
      </c>
    </row>
    <row r="7" spans="1:1" x14ac:dyDescent="0.3">
      <c r="A7" s="48" t="s">
        <v>431</v>
      </c>
    </row>
    <row r="9" spans="1:1" x14ac:dyDescent="0.3">
      <c r="A9" s="48" t="s">
        <v>432</v>
      </c>
    </row>
    <row r="11" spans="1:1" x14ac:dyDescent="0.3">
      <c r="A11" s="51" t="s">
        <v>443</v>
      </c>
    </row>
    <row r="12" spans="1:1" x14ac:dyDescent="0.3">
      <c r="A12" s="51" t="s">
        <v>444</v>
      </c>
    </row>
    <row r="13" spans="1:1" x14ac:dyDescent="0.3">
      <c r="A13" s="50" t="s">
        <v>445</v>
      </c>
    </row>
    <row r="14" spans="1:1" x14ac:dyDescent="0.3">
      <c r="A14" s="50" t="s">
        <v>446</v>
      </c>
    </row>
    <row r="16" spans="1:1" x14ac:dyDescent="0.3">
      <c r="A16" s="48" t="s">
        <v>433</v>
      </c>
    </row>
    <row r="18" spans="1:1" x14ac:dyDescent="0.3">
      <c r="A18" s="51" t="s">
        <v>447</v>
      </c>
    </row>
    <row r="19" spans="1:1" x14ac:dyDescent="0.3">
      <c r="A19" s="51" t="s">
        <v>448</v>
      </c>
    </row>
    <row r="20" spans="1:1" x14ac:dyDescent="0.3">
      <c r="A20" s="51" t="s">
        <v>449</v>
      </c>
    </row>
    <row r="22" spans="1:1" x14ac:dyDescent="0.3">
      <c r="A22" s="48" t="s">
        <v>434</v>
      </c>
    </row>
    <row r="24" spans="1:1" x14ac:dyDescent="0.3">
      <c r="A24" s="51" t="s">
        <v>450</v>
      </c>
    </row>
    <row r="25" spans="1:1" x14ac:dyDescent="0.3">
      <c r="A25" s="51" t="s">
        <v>451</v>
      </c>
    </row>
    <row r="26" spans="1:1" x14ac:dyDescent="0.3">
      <c r="A26" s="51" t="s">
        <v>452</v>
      </c>
    </row>
    <row r="27" spans="1:1" x14ac:dyDescent="0.3">
      <c r="A27" s="51" t="s">
        <v>453</v>
      </c>
    </row>
    <row r="29" spans="1:1" x14ac:dyDescent="0.3">
      <c r="A29" s="48" t="s">
        <v>435</v>
      </c>
    </row>
    <row r="31" spans="1:1" x14ac:dyDescent="0.3">
      <c r="A31" s="51" t="s">
        <v>454</v>
      </c>
    </row>
    <row r="32" spans="1:1" x14ac:dyDescent="0.3">
      <c r="A32" s="51" t="s">
        <v>455</v>
      </c>
    </row>
    <row r="33" spans="1:1" x14ac:dyDescent="0.3">
      <c r="A33" s="50" t="s">
        <v>456</v>
      </c>
    </row>
    <row r="34" spans="1:1" x14ac:dyDescent="0.3">
      <c r="A34" s="50" t="s">
        <v>457</v>
      </c>
    </row>
    <row r="35" spans="1:1" x14ac:dyDescent="0.3">
      <c r="A35" s="50" t="s">
        <v>458</v>
      </c>
    </row>
    <row r="36" spans="1:1" x14ac:dyDescent="0.3">
      <c r="A36" s="50" t="s">
        <v>459</v>
      </c>
    </row>
    <row r="37" spans="1:1" x14ac:dyDescent="0.3">
      <c r="A37" s="50" t="s">
        <v>460</v>
      </c>
    </row>
    <row r="38" spans="1:1" x14ac:dyDescent="0.3">
      <c r="A38" s="51" t="s">
        <v>461</v>
      </c>
    </row>
    <row r="40" spans="1:1" x14ac:dyDescent="0.3">
      <c r="A40" s="48" t="s">
        <v>436</v>
      </c>
    </row>
    <row r="42" spans="1:1" x14ac:dyDescent="0.3">
      <c r="A42" s="51" t="s">
        <v>462</v>
      </c>
    </row>
    <row r="43" spans="1:1" x14ac:dyDescent="0.3">
      <c r="A43" s="50" t="s">
        <v>463</v>
      </c>
    </row>
    <row r="45" spans="1:1" x14ac:dyDescent="0.3">
      <c r="A45" s="48" t="s">
        <v>437</v>
      </c>
    </row>
    <row r="46" spans="1:1" x14ac:dyDescent="0.3">
      <c r="A46" s="52"/>
    </row>
    <row r="47" spans="1:1" x14ac:dyDescent="0.3">
      <c r="A47" s="51" t="s">
        <v>464</v>
      </c>
    </row>
    <row r="48" spans="1:1" x14ac:dyDescent="0.3">
      <c r="A48" s="51" t="s">
        <v>465</v>
      </c>
    </row>
    <row r="49" spans="1:1" x14ac:dyDescent="0.3">
      <c r="A49" s="51" t="s">
        <v>466</v>
      </c>
    </row>
    <row r="51" spans="1:1" x14ac:dyDescent="0.3">
      <c r="A51" s="50" t="s">
        <v>438</v>
      </c>
    </row>
    <row r="52" spans="1:1" x14ac:dyDescent="0.3">
      <c r="A52" s="50" t="s">
        <v>439</v>
      </c>
    </row>
    <row r="53" spans="1:1" x14ac:dyDescent="0.3">
      <c r="A53" s="50" t="s">
        <v>467</v>
      </c>
    </row>
    <row r="54" spans="1:1" x14ac:dyDescent="0.3">
      <c r="A54" s="50" t="s">
        <v>468</v>
      </c>
    </row>
    <row r="55" spans="1:1" x14ac:dyDescent="0.3">
      <c r="A55" s="50" t="s">
        <v>469</v>
      </c>
    </row>
    <row r="57" spans="1:1" x14ac:dyDescent="0.3">
      <c r="A57" s="51" t="s">
        <v>470</v>
      </c>
    </row>
    <row r="59" spans="1:1" x14ac:dyDescent="0.3">
      <c r="A59" s="50" t="s">
        <v>471</v>
      </c>
    </row>
    <row r="60" spans="1:1" x14ac:dyDescent="0.3">
      <c r="A60" s="50" t="s">
        <v>472</v>
      </c>
    </row>
    <row r="61" spans="1:1" x14ac:dyDescent="0.3">
      <c r="A61" s="50" t="s">
        <v>473</v>
      </c>
    </row>
    <row r="62" spans="1:1" x14ac:dyDescent="0.3">
      <c r="A62" s="50" t="s">
        <v>474</v>
      </c>
    </row>
    <row r="64" spans="1:1" x14ac:dyDescent="0.3">
      <c r="A64" s="51" t="s">
        <v>475</v>
      </c>
    </row>
    <row r="65" spans="1:1" x14ac:dyDescent="0.3">
      <c r="A65" s="50" t="s">
        <v>476</v>
      </c>
    </row>
    <row r="66" spans="1:1" x14ac:dyDescent="0.3">
      <c r="A66" s="50" t="s">
        <v>477</v>
      </c>
    </row>
    <row r="67" spans="1:1" x14ac:dyDescent="0.3">
      <c r="A67" s="50" t="s">
        <v>478</v>
      </c>
    </row>
    <row r="68" spans="1:1" x14ac:dyDescent="0.3">
      <c r="A68" s="50" t="s">
        <v>479</v>
      </c>
    </row>
    <row r="70" spans="1:1" x14ac:dyDescent="0.3">
      <c r="A70" s="48" t="s">
        <v>440</v>
      </c>
    </row>
    <row r="71" spans="1:1" x14ac:dyDescent="0.3">
      <c r="A71" s="52"/>
    </row>
    <row r="72" spans="1:1" x14ac:dyDescent="0.3">
      <c r="A72" s="50" t="s">
        <v>441</v>
      </c>
    </row>
    <row r="74" spans="1:1" x14ac:dyDescent="0.3">
      <c r="A74" s="51" t="s">
        <v>480</v>
      </c>
    </row>
    <row r="75" spans="1:1" x14ac:dyDescent="0.3">
      <c r="A75" s="51" t="s">
        <v>481</v>
      </c>
    </row>
    <row r="76" spans="1:1" x14ac:dyDescent="0.3">
      <c r="A76" s="51" t="s">
        <v>482</v>
      </c>
    </row>
    <row r="77" spans="1:1" x14ac:dyDescent="0.3">
      <c r="A77" s="51" t="s">
        <v>483</v>
      </c>
    </row>
    <row r="78" spans="1:1" x14ac:dyDescent="0.3">
      <c r="A78" s="51" t="s">
        <v>484</v>
      </c>
    </row>
    <row r="80" spans="1:1" x14ac:dyDescent="0.3">
      <c r="A80" s="48" t="s">
        <v>442</v>
      </c>
    </row>
    <row r="82" spans="1:1" x14ac:dyDescent="0.3">
      <c r="A82" s="51" t="s">
        <v>485</v>
      </c>
    </row>
  </sheetData>
  <phoneticPr fontId="1"/>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6814-5B4D-4F44-93CD-06887D6EDD79}">
  <dimension ref="A1:A49"/>
  <sheetViews>
    <sheetView workbookViewId="0">
      <pane ySplit="1" topLeftCell="A2" activePane="bottomLeft" state="frozen"/>
      <selection pane="bottomLeft" activeCell="J22" sqref="J22"/>
    </sheetView>
  </sheetViews>
  <sheetFormatPr defaultRowHeight="18.75" x14ac:dyDescent="0.4"/>
  <cols>
    <col min="1" max="16384" width="9" style="43"/>
  </cols>
  <sheetData>
    <row r="1" spans="1:1" x14ac:dyDescent="0.4">
      <c r="A1" s="44" t="s">
        <v>493</v>
      </c>
    </row>
    <row r="3" spans="1:1" x14ac:dyDescent="0.4">
      <c r="A3" s="46" t="s">
        <v>494</v>
      </c>
    </row>
    <row r="5" spans="1:1" x14ac:dyDescent="0.4">
      <c r="A5" s="46" t="s">
        <v>495</v>
      </c>
    </row>
    <row r="7" spans="1:1" x14ac:dyDescent="0.4">
      <c r="A7" s="46" t="s">
        <v>496</v>
      </c>
    </row>
    <row r="8" spans="1:1" x14ac:dyDescent="0.4">
      <c r="A8" s="46" t="s">
        <v>497</v>
      </c>
    </row>
    <row r="9" spans="1:1" x14ac:dyDescent="0.4">
      <c r="A9" s="46" t="s">
        <v>498</v>
      </c>
    </row>
    <row r="10" spans="1:1" x14ac:dyDescent="0.4">
      <c r="A10" s="46" t="s">
        <v>499</v>
      </c>
    </row>
    <row r="11" spans="1:1" x14ac:dyDescent="0.4">
      <c r="A11" s="46" t="s">
        <v>500</v>
      </c>
    </row>
    <row r="12" spans="1:1" x14ac:dyDescent="0.4">
      <c r="A12" s="46" t="s">
        <v>501</v>
      </c>
    </row>
    <row r="14" spans="1:1" x14ac:dyDescent="0.4">
      <c r="A14" s="46" t="s">
        <v>502</v>
      </c>
    </row>
    <row r="15" spans="1:1" x14ac:dyDescent="0.4">
      <c r="A15" s="46" t="s">
        <v>503</v>
      </c>
    </row>
    <row r="17" spans="1:1" x14ac:dyDescent="0.4">
      <c r="A17" s="46" t="s">
        <v>504</v>
      </c>
    </row>
    <row r="18" spans="1:1" x14ac:dyDescent="0.4">
      <c r="A18" s="46" t="s">
        <v>505</v>
      </c>
    </row>
    <row r="19" spans="1:1" x14ac:dyDescent="0.4">
      <c r="A19" s="46" t="s">
        <v>506</v>
      </c>
    </row>
    <row r="20" spans="1:1" x14ac:dyDescent="0.4">
      <c r="A20" s="46" t="s">
        <v>507</v>
      </c>
    </row>
    <row r="21" spans="1:1" x14ac:dyDescent="0.4">
      <c r="A21" s="46" t="s">
        <v>508</v>
      </c>
    </row>
    <row r="22" spans="1:1" x14ac:dyDescent="0.4">
      <c r="A22" s="46" t="s">
        <v>509</v>
      </c>
    </row>
    <row r="23" spans="1:1" x14ac:dyDescent="0.4">
      <c r="A23" s="46" t="s">
        <v>510</v>
      </c>
    </row>
    <row r="26" spans="1:1" x14ac:dyDescent="0.4">
      <c r="A26" s="44" t="s">
        <v>511</v>
      </c>
    </row>
    <row r="27" spans="1:1" x14ac:dyDescent="0.4">
      <c r="A27" s="44"/>
    </row>
    <row r="28" spans="1:1" x14ac:dyDescent="0.4">
      <c r="A28" s="49" t="s">
        <v>512</v>
      </c>
    </row>
    <row r="29" spans="1:1" x14ac:dyDescent="0.4">
      <c r="A29" s="49"/>
    </row>
    <row r="30" spans="1:1" x14ac:dyDescent="0.4">
      <c r="A30" s="49" t="s">
        <v>495</v>
      </c>
    </row>
    <row r="31" spans="1:1" x14ac:dyDescent="0.4">
      <c r="A31" s="49"/>
    </row>
    <row r="32" spans="1:1" x14ac:dyDescent="0.4">
      <c r="A32" s="49" t="s">
        <v>513</v>
      </c>
    </row>
    <row r="33" spans="1:1" x14ac:dyDescent="0.4">
      <c r="A33" s="49" t="s">
        <v>514</v>
      </c>
    </row>
    <row r="34" spans="1:1" x14ac:dyDescent="0.4">
      <c r="A34" s="49" t="s">
        <v>515</v>
      </c>
    </row>
    <row r="35" spans="1:1" x14ac:dyDescent="0.4">
      <c r="A35" s="49" t="s">
        <v>516</v>
      </c>
    </row>
    <row r="36" spans="1:1" x14ac:dyDescent="0.4">
      <c r="A36" s="49" t="s">
        <v>517</v>
      </c>
    </row>
    <row r="37" spans="1:1" x14ac:dyDescent="0.4">
      <c r="A37" s="49" t="s">
        <v>518</v>
      </c>
    </row>
    <row r="38" spans="1:1" x14ac:dyDescent="0.4">
      <c r="A38" s="49" t="s">
        <v>519</v>
      </c>
    </row>
    <row r="39" spans="1:1" x14ac:dyDescent="0.4">
      <c r="A39" s="49"/>
    </row>
    <row r="40" spans="1:1" x14ac:dyDescent="0.4">
      <c r="A40" s="49" t="s">
        <v>520</v>
      </c>
    </row>
    <row r="41" spans="1:1" x14ac:dyDescent="0.4">
      <c r="A41" s="49" t="s">
        <v>521</v>
      </c>
    </row>
    <row r="42" spans="1:1" x14ac:dyDescent="0.4">
      <c r="A42" s="49" t="s">
        <v>522</v>
      </c>
    </row>
    <row r="43" spans="1:1" x14ac:dyDescent="0.4">
      <c r="A43" s="49"/>
    </row>
    <row r="44" spans="1:1" x14ac:dyDescent="0.4">
      <c r="A44" s="49" t="s">
        <v>523</v>
      </c>
    </row>
    <row r="45" spans="1:1" x14ac:dyDescent="0.4">
      <c r="A45" s="49" t="s">
        <v>524</v>
      </c>
    </row>
    <row r="46" spans="1:1" x14ac:dyDescent="0.4">
      <c r="A46" s="49" t="s">
        <v>525</v>
      </c>
    </row>
    <row r="47" spans="1:1" x14ac:dyDescent="0.4">
      <c r="A47" s="49" t="s">
        <v>526</v>
      </c>
    </row>
    <row r="48" spans="1:1" x14ac:dyDescent="0.4">
      <c r="A48" s="49" t="s">
        <v>527</v>
      </c>
    </row>
    <row r="49" spans="1:1" x14ac:dyDescent="0.4">
      <c r="A49" s="49" t="s">
        <v>528</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Introduction</vt:lpstr>
      <vt:lpstr>JCSC</vt:lpstr>
      <vt:lpstr>Chords</vt:lpstr>
      <vt:lpstr>Keyboard</vt:lpstr>
      <vt:lpstr>MasterTables</vt:lpstr>
      <vt:lpstr>ERD</vt:lpstr>
      <vt:lpstr>IntroductionJ</vt:lpstr>
      <vt:lpstr>License</vt:lpstr>
      <vt:lpstr>CurrentRow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2025-12-13T16:55:49Z</dcterms:created>
  <dcterms:modified xsi:type="dcterms:W3CDTF">2025-12-13T17:49:28Z</dcterms:modified>
</cp:coreProperties>
</file>